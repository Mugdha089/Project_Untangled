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emerson.sharepoint.com/sites/MarjanPackage-1/Shared Documents/Engineering/00 Customer Supplied/20221213 PIB-4 AUXP Freeze Design Inputs/IO LIST/"/>
    </mc:Choice>
  </mc:AlternateContent>
  <xr:revisionPtr revIDLastSave="161" documentId="11_3F9264B95B256D9DE5FF889E7F5A0B7C5B9B2A36" xr6:coauthVersionLast="47" xr6:coauthVersionMax="47" xr10:uidLastSave="{F347730D-8D5A-4CC5-8112-0AF744FE42D6}"/>
  <bookViews>
    <workbookView xWindow="-120" yWindow="-120" windowWidth="29040" windowHeight="15840" activeTab="1" xr2:uid="{00000000-000D-0000-FFFF-FFFF00000000}"/>
  </bookViews>
  <sheets>
    <sheet name="Legend" sheetId="8" r:id="rId1"/>
    <sheet name="Filtered IO" sheetId="12" r:id="rId2"/>
    <sheet name="Summary" sheetId="13" r:id="rId3"/>
    <sheet name="Closed Drain" sheetId="14" r:id="rId4"/>
    <sheet name="Oily Water" sheetId="15" r:id="rId5"/>
    <sheet name="Diesel Fuel" sheetId="16" r:id="rId6"/>
    <sheet name="Potable Water" sheetId="1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bookmark_1" localSheetId="1">IO [1]List!$A$9:$AE$861</definedName>
    <definedName name="__bookmark_1" localSheetId="0">IO [1]List!$A$9:$AE$861</definedName>
    <definedName name="__bookmark_1">IO [1]List!$A$9:$AE$861</definedName>
    <definedName name="_xlnm._FilterDatabase" localSheetId="1" hidden="1">'Filtered IO'!$A$1:$AB$272</definedName>
    <definedName name="A">#REF!</definedName>
    <definedName name="AC_Device_Category">'[2]Drop Down Menu Data'!$E$3:$E$11</definedName>
    <definedName name="AC_SPL_CASE">'[2]Drop Down Menu Data'!$E$4</definedName>
    <definedName name="AC_Utility">'[2]Drop Down Menu Data'!$E$22</definedName>
    <definedName name="Cover2" hidden="1">{"'Links'!$A$1:$B$103"}</definedName>
    <definedName name="Cp">#REF!</definedName>
    <definedName name="crar">#REF!+#REF!+#REF!</definedName>
    <definedName name="crar_ips_phase1">#REF!</definedName>
    <definedName name="crar_ips_phase2">#REF!+#REF!</definedName>
    <definedName name="DC_Drop_Down_list">'[2]Drop Down Menu Data'!$A$4:$A$14</definedName>
    <definedName name="DC_Drop_Down_List1">'[3]Drop Down Menu Data'!$A$4:$A$14</definedName>
    <definedName name="dcf">#REF!</definedName>
    <definedName name="Diode">'[2]Drop Down Menu Data'!$E$3</definedName>
    <definedName name="Doltorial">#REF!</definedName>
    <definedName name="DT">'[4]Control Cabinet Temp Calcs'!$E$31</definedName>
    <definedName name="DVN">#REF!</definedName>
    <definedName name="F_3237">[5]!F_3237</definedName>
    <definedName name="F_3330">[5]!F_3330</definedName>
    <definedName name="F_3331">[5]!F_3331</definedName>
    <definedName name="F_5220">[5]!F_5220</definedName>
    <definedName name="F_6217">[5]!F_6217</definedName>
    <definedName name="FAR_No">[5]!Far_No</definedName>
    <definedName name="far1_fgs">#REF!</definedName>
    <definedName name="far1_fgs_phase1">#REF!</definedName>
    <definedName name="far1_fgs_phase2">#REF!</definedName>
    <definedName name="far1_ips">#REF!+#REF!</definedName>
    <definedName name="far1_ips_phase1">#REF!</definedName>
    <definedName name="far1_ips_phase2">#REF!</definedName>
    <definedName name="far10_fgs">#REF!</definedName>
    <definedName name="far10_fgs_phase1">#REF!</definedName>
    <definedName name="far10_fgs_phase2">#REF!</definedName>
    <definedName name="far10_ips">#REF!+#REF!</definedName>
    <definedName name="far10_ips_phase1">#REF!</definedName>
    <definedName name="far10_ips_phase2">#REF!</definedName>
    <definedName name="far11_fgs">#REF!</definedName>
    <definedName name="far11_ips">#REF!</definedName>
    <definedName name="far12_fgs">#REF!</definedName>
    <definedName name="far12_ips">#REF!+#REF!</definedName>
    <definedName name="far13_fgs">#REF!</definedName>
    <definedName name="far13_ips">#REF!</definedName>
    <definedName name="far14_fgs">#REF!</definedName>
    <definedName name="far14_ips">#REF!</definedName>
    <definedName name="far15_fgs">#REF!</definedName>
    <definedName name="far15_ips">#REF!</definedName>
    <definedName name="far2_fgs">#REF!</definedName>
    <definedName name="far2_ips">#REF!</definedName>
    <definedName name="far3_fgs">#REF!</definedName>
    <definedName name="far3_ips">#REF!</definedName>
    <definedName name="far4_fgs">#REF!</definedName>
    <definedName name="far4_ips">#REF!</definedName>
    <definedName name="far5_fgs">#REF!</definedName>
    <definedName name="far5_ips">#REF!</definedName>
    <definedName name="far6_fgs">#REF!</definedName>
    <definedName name="far6_ips">#REF!</definedName>
    <definedName name="far7_fgs">#REF!</definedName>
    <definedName name="far7_fgs_phase1">#REF!</definedName>
    <definedName name="far7_fgs_phase2">#REF!</definedName>
    <definedName name="far7_ips">#REF!+#REF!+#REF!</definedName>
    <definedName name="far7_ips_phase1">#REF!+#REF!</definedName>
    <definedName name="far7_ips_phase2">#REF!+#REF!</definedName>
    <definedName name="far8_fgs">#REF!</definedName>
    <definedName name="far8_fgs_phase1">#REF!</definedName>
    <definedName name="far8_fgs_phase2">#REF!</definedName>
    <definedName name="far8_ips">#REF!+#REF!</definedName>
    <definedName name="far8_ips_phase1">#REF!</definedName>
    <definedName name="far8_ips_phase2">#REF!</definedName>
    <definedName name="far9_fgs">#REF!</definedName>
    <definedName name="far9_fgs_phase1">#REF!</definedName>
    <definedName name="far9_fgs_phase2">#REF!</definedName>
    <definedName name="far9_ips">#REF!+#REF!</definedName>
    <definedName name="far9_ips_phase1">#REF!</definedName>
    <definedName name="far9_ips_phase2">#REF!</definedName>
    <definedName name="fdbf">[5]!Z_F3331</definedName>
    <definedName name="Field_device">[2]Field!$H$5:$H$5</definedName>
    <definedName name="File">#REF!</definedName>
    <definedName name="HTML_CodePage" hidden="1">1252</definedName>
    <definedName name="HTML_Control" hidden="1">{"'Links'!$A$1:$B$103"}</definedName>
    <definedName name="HTML_Description" hidden="1">"The latest edition or revision of the following Specifications and drawings, as a minimum, form a part of this specification."</definedName>
    <definedName name="HTML_Email" hidden="1">""</definedName>
    <definedName name="HTML_Header" hidden="1">"Referenced Publications"</definedName>
    <definedName name="HTML_LastUpdate" hidden="1">"05/21/1999"</definedName>
    <definedName name="HTML_LineAfter" hidden="1">TRUE</definedName>
    <definedName name="HTML_LineBefore" hidden="1">TRUE</definedName>
    <definedName name="HTML_Name" hidden="1">"Aramco Services Corporation"</definedName>
    <definedName name="HTML_OBDlg2" hidden="1">TRUE</definedName>
    <definedName name="HTML_OBDlg4" hidden="1">TRUE</definedName>
    <definedName name="HTML_OS" hidden="1">0</definedName>
    <definedName name="HTML_PathFile" hidden="1">"F:\Projects\Aramco\0000\Is\Documents for Web Site\Old - November 1998\MyHTML.htm"</definedName>
    <definedName name="HTML_Title" hidden="1">"Referenced Publications"</definedName>
    <definedName name="IPS_FAR3">#REF!</definedName>
    <definedName name="jetty">#REF!</definedName>
    <definedName name="jetty_fgs">#REF!</definedName>
    <definedName name="MDPDST">#REF!</definedName>
    <definedName name="MXDST">#REF!</definedName>
    <definedName name="os1_fgs">#REF!</definedName>
    <definedName name="os2_fgs">#REF!</definedName>
    <definedName name="Price_RMB">[6]Pricelist2001!#REF!</definedName>
    <definedName name="Q">#REF!</definedName>
    <definedName name="Racks">[5]!Racks</definedName>
    <definedName name="Redundancy">'[2]Drop Down Menu Data'!$A$33:$A$35</definedName>
    <definedName name="second">#REF!</definedName>
    <definedName name="secondFGS">#REF!</definedName>
    <definedName name="SecondSIS">#REF!</definedName>
    <definedName name="SIS_Lead">'[7]SIS Resources EMA '!$D$2:$D$43</definedName>
    <definedName name="Subtotal_Hardware">#REF!</definedName>
    <definedName name="Topic">[8]Namen!$A$2:$A$10</definedName>
    <definedName name="U">#REF!</definedName>
    <definedName name="Z_F3236">[5]!Z_F3236</definedName>
    <definedName name="Z_F3237">[5]!Z_F3237</definedName>
    <definedName name="Z_F3330">[5]!Z_F3330</definedName>
    <definedName name="Z_F3331">[5]!Z_F3331</definedName>
    <definedName name="Z_F5220">[5]!Z_F5220</definedName>
    <definedName name="Z_F6217">[9]IPS!E6216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7" l="1" a="1"/>
  <c r="A2" i="17"/>
  <c r="A2" i="16" a="1"/>
  <c r="A2" i="16"/>
  <c r="A2" i="15" a="1"/>
  <c r="A2" i="15"/>
  <c r="A2" i="14" a="1"/>
  <c r="A2" i="14"/>
  <c r="C8" i="13"/>
  <c r="C7" i="13"/>
  <c r="C6" i="13"/>
  <c r="C5" i="13"/>
  <c r="C4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<sst xmlns="http://schemas.openxmlformats.org/spreadsheetml/2006/main" count="4005" uniqueCount="712">
  <si>
    <t>Change</t>
  </si>
  <si>
    <t>Deleted</t>
  </si>
  <si>
    <t>Revise tag / addition tag</t>
  </si>
  <si>
    <t>The coloring is marked up with respect to Rec 00C IO list file which shared to Emerson on Jul 25th. 2002</t>
  </si>
  <si>
    <t>PID</t>
  </si>
  <si>
    <t>Tag Number</t>
  </si>
  <si>
    <t>Loop Name</t>
  </si>
  <si>
    <t>Location</t>
  </si>
  <si>
    <t>Instrument Type</t>
  </si>
  <si>
    <t>Service</t>
  </si>
  <si>
    <t>Calibration Range Min</t>
  </si>
  <si>
    <t>Calibration Range Max</t>
  </si>
  <si>
    <t>Calibration Range Units</t>
  </si>
  <si>
    <t>DCS Range Min</t>
  </si>
  <si>
    <t>DCS Range Max</t>
  </si>
  <si>
    <t>DCS Range Units</t>
  </si>
  <si>
    <t>Alarm High</t>
  </si>
  <si>
    <t>Alarm High High</t>
  </si>
  <si>
    <t>High High Trip</t>
  </si>
  <si>
    <t>Alarm Low</t>
  </si>
  <si>
    <t>Alarm Low Low</t>
  </si>
  <si>
    <t>Low Low Trip</t>
  </si>
  <si>
    <t>Alarm Units</t>
  </si>
  <si>
    <t>Equipment Name</t>
  </si>
  <si>
    <t>I/O Type Name</t>
  </si>
  <si>
    <t>Controller No.</t>
  </si>
  <si>
    <t>Signal Type</t>
  </si>
  <si>
    <t>System Type</t>
  </si>
  <si>
    <t>Device Protocol</t>
  </si>
  <si>
    <t>Power Supply</t>
  </si>
  <si>
    <t>Remarks</t>
  </si>
  <si>
    <t>Rev</t>
  </si>
  <si>
    <t>CA-741752-001</t>
  </si>
  <si>
    <t>631-AY   -3054</t>
  </si>
  <si>
    <t>631-A-3054</t>
  </si>
  <si>
    <t>VALVE</t>
  </si>
  <si>
    <t>SOLENOID VALVE</t>
  </si>
  <si>
    <t>631-D-0304A DSL FUEL FLTR DRN VLV</t>
  </si>
  <si>
    <t>DO</t>
  </si>
  <si>
    <t>631-DCS401</t>
  </si>
  <si>
    <t>24VDC</t>
  </si>
  <si>
    <t>DCS</t>
  </si>
  <si>
    <t>C</t>
  </si>
  <si>
    <t>No</t>
  </si>
  <si>
    <t>AUX</t>
  </si>
  <si>
    <t>631-XSH  -3054</t>
  </si>
  <si>
    <t>VALVE POSITION SWITCH OPEN</t>
  </si>
  <si>
    <t>631-D-0304A DSL FUEL FLTR DRN VLV OPN</t>
  </si>
  <si>
    <t>DI</t>
  </si>
  <si>
    <t>FREE</t>
  </si>
  <si>
    <t>631-XSL  -3054</t>
  </si>
  <si>
    <t>VALVE POSITION SWITCH CLOSED</t>
  </si>
  <si>
    <t>631-D-0304A DSL FUEL FLTR DRN VLV CLS</t>
  </si>
  <si>
    <t>631-XIH  -3054</t>
  </si>
  <si>
    <t>STATUS INDICATION OPEN</t>
  </si>
  <si>
    <t>SW</t>
  </si>
  <si>
    <t>-</t>
  </si>
  <si>
    <t>631-XIL  -3054</t>
  </si>
  <si>
    <t>STATUS INDICATION CLOSED</t>
  </si>
  <si>
    <t>631-HS   -3054A</t>
  </si>
  <si>
    <t>DCS HAND SWITCH VALVE OPEN</t>
  </si>
  <si>
    <t>631-D-0304A DSL FUEL FLTR DRN OPN</t>
  </si>
  <si>
    <t>631-HS   -3054B</t>
  </si>
  <si>
    <t>DCS HAND SWITCH VALVE CLOSE</t>
  </si>
  <si>
    <t>631-D-0304A DSL FUEL FLTR DRN CLS</t>
  </si>
  <si>
    <t>631-XA   -3054</t>
  </si>
  <si>
    <t>FAULT ALARM/TRIP INDICATION</t>
  </si>
  <si>
    <t>631-D-0304A DSL FUEL FLTR DRN FLT</t>
  </si>
  <si>
    <t>631-AY   -3055</t>
  </si>
  <si>
    <t>631-A-3055</t>
  </si>
  <si>
    <t>631-D-0304B DSL FUEL FLTR DRN VLV</t>
  </si>
  <si>
    <t>631-XSH  -3055</t>
  </si>
  <si>
    <t>631-D-0304B DSL FUEL FLTR DRN VLV OPN</t>
  </si>
  <si>
    <t>631-XSL  -3055</t>
  </si>
  <si>
    <t>631-D-0304B DSL FUEL FLTR DRN VLV CLS</t>
  </si>
  <si>
    <t>631-XIH  -3055</t>
  </si>
  <si>
    <t>631-XIL  -3055</t>
  </si>
  <si>
    <t>631-HS   -3055A</t>
  </si>
  <si>
    <t>631-D-0304B DSL FUEL FLTR DRN OPN</t>
  </si>
  <si>
    <t>631-HS   -3055B</t>
  </si>
  <si>
    <t>631-D-0304B DSL FUEL FLTR DRN CLS</t>
  </si>
  <si>
    <t>631-XA   -3055</t>
  </si>
  <si>
    <t>631-D-0304B DSL FUEL FLTR DRN FLT</t>
  </si>
  <si>
    <t>631-FIT  -3051</t>
  </si>
  <si>
    <t>631-F-3051</t>
  </si>
  <si>
    <t>FIELD</t>
  </si>
  <si>
    <t>FLOW INDICATING TRANSMITTER - D/P</t>
  </si>
  <si>
    <t>631-D-0305 DSL FUEL TNK INL FLO</t>
  </si>
  <si>
    <t>0</t>
  </si>
  <si>
    <t>100</t>
  </si>
  <si>
    <t>inH2O</t>
  </si>
  <si>
    <t>110</t>
  </si>
  <si>
    <t>US gal/min</t>
  </si>
  <si>
    <t>HART AI</t>
  </si>
  <si>
    <t>4-20mA</t>
  </si>
  <si>
    <t>H</t>
  </si>
  <si>
    <t>631-FQI  -3051</t>
  </si>
  <si>
    <t>FLOW TOTALIZING INDICATOR</t>
  </si>
  <si>
    <t>631-D-0305 DSL FUEL TNK INL FLO TOT</t>
  </si>
  <si>
    <t>631-FIT  -3052</t>
  </si>
  <si>
    <t>631-F-3052</t>
  </si>
  <si>
    <t>631-G-0306A/B DSL FUEL PMP DISCH FLO</t>
  </si>
  <si>
    <t>45</t>
  </si>
  <si>
    <t>631-FIC  -3052</t>
  </si>
  <si>
    <t>FLOW INDICATING CONTROLLER</t>
  </si>
  <si>
    <t>631-D-0305 DSL FUEL RECYC FLO CTRL</t>
  </si>
  <si>
    <t>631-FY   -3052</t>
  </si>
  <si>
    <t>I/P CONVERTER</t>
  </si>
  <si>
    <t>HART AO</t>
  </si>
  <si>
    <t>631-FAL  -3052</t>
  </si>
  <si>
    <t>FLOW ALARM LOW</t>
  </si>
  <si>
    <t>631-G-0306A/B DSL FUEL PMP DISCH FLO LO</t>
  </si>
  <si>
    <t>14</t>
  </si>
  <si>
    <t>631-HS   -3053</t>
  </si>
  <si>
    <t>631-H-3053</t>
  </si>
  <si>
    <t>LP</t>
  </si>
  <si>
    <t>HAND SWITCH</t>
  </si>
  <si>
    <t>631-LCP-4035 DSL FUEL TNK LVL ACK</t>
  </si>
  <si>
    <t>631-HS   -3057</t>
  </si>
  <si>
    <t>631-H-3057</t>
  </si>
  <si>
    <t>631-LCP-4035 LAMP TST</t>
  </si>
  <si>
    <t>631-LIT  -3052</t>
  </si>
  <si>
    <t>631-L-3052</t>
  </si>
  <si>
    <t>LEVEL TRANSMITTER GUIDED WAVE RADAR</t>
  </si>
  <si>
    <t>631-D-0305 DSL FUEL TNK LVL</t>
  </si>
  <si>
    <t>6</t>
  </si>
  <si>
    <t>135</t>
  </si>
  <si>
    <t>in</t>
  </si>
  <si>
    <t>%</t>
  </si>
  <si>
    <t>631-D-0305</t>
  </si>
  <si>
    <t>631-XL   -3052</t>
  </si>
  <si>
    <t>HIGH LEVEL LOCAL PANEL LIGHT</t>
  </si>
  <si>
    <t>631-LCP-4035 DSL FUEL TNK LVL HI</t>
  </si>
  <si>
    <t>631-LI   -3052</t>
  </si>
  <si>
    <t>LEVEL INDICATION</t>
  </si>
  <si>
    <t>631-LI   -3052A</t>
  </si>
  <si>
    <t>LOOP POWER INDICATOR</t>
  </si>
  <si>
    <t>631-LCP-4035 DSL FUEL TNK LVL</t>
  </si>
  <si>
    <t>AO</t>
  </si>
  <si>
    <t>631-LAH  -3052</t>
  </si>
  <si>
    <t>LEVEL ALARM HIGH</t>
  </si>
  <si>
    <t>631-D-0305 DSL FUEL TNK LVL HI</t>
  </si>
  <si>
    <t>83.7</t>
  </si>
  <si>
    <t>631-LAL  -3052</t>
  </si>
  <si>
    <t>LEVEL ALARM LOW</t>
  </si>
  <si>
    <t>631-D-0305 DSL FUEL TNK LVL LO</t>
  </si>
  <si>
    <t>631-LIT  -3054</t>
  </si>
  <si>
    <t>631-L-3054</t>
  </si>
  <si>
    <t>631-D-0304A DSL FUEL FLTR LVL</t>
  </si>
  <si>
    <t>33.5</t>
  </si>
  <si>
    <t>631-LIC  -3054</t>
  </si>
  <si>
    <t>LEVEL INDICATION CONTROLLER</t>
  </si>
  <si>
    <t>631-D-0304A DSL FUEL FLTR LVL CTRL</t>
  </si>
  <si>
    <t>631-LAH  -3054</t>
  </si>
  <si>
    <t>631-D-0304A DSL FUEL FLTR LVL HI</t>
  </si>
  <si>
    <t>64.3</t>
  </si>
  <si>
    <t>631-LAL  -3054</t>
  </si>
  <si>
    <t>631-D-0304A DSL FUEL FLTR LVL LO</t>
  </si>
  <si>
    <t>11.6</t>
  </si>
  <si>
    <t>631-LIT  -3055</t>
  </si>
  <si>
    <t>631-L-3055</t>
  </si>
  <si>
    <t>631-D-0304B DSL FUEL FLTR LVL</t>
  </si>
  <si>
    <t>631-D-0304B</t>
  </si>
  <si>
    <t>631-LIC  -3055</t>
  </si>
  <si>
    <t>631-D-0304B DSL FUEL FLTR LVL CTRL</t>
  </si>
  <si>
    <t>631-LAH  -3055</t>
  </si>
  <si>
    <t>631-D-0304B DSL FUEL FLTR LVL HI</t>
  </si>
  <si>
    <t>631-LAL  -3055</t>
  </si>
  <si>
    <t>631-D-0304B DSL FUEL FLTR LVL LO</t>
  </si>
  <si>
    <t>631-HS   -3060D</t>
  </si>
  <si>
    <t>631-M-3060</t>
  </si>
  <si>
    <t>MCC</t>
  </si>
  <si>
    <t>DCS HAND SWITCH START</t>
  </si>
  <si>
    <t>631-G-0306A DSL FUEL PMP START</t>
  </si>
  <si>
    <t>631-HS   -3060E</t>
  </si>
  <si>
    <t>DCS HAND SWITCH STOP</t>
  </si>
  <si>
    <t>631-G-0306A DSL FUEL PMP STP</t>
  </si>
  <si>
    <t>631-XA   -3060A</t>
  </si>
  <si>
    <t>631-G-0306A DSL FUEL PMP FLT</t>
  </si>
  <si>
    <t>SID</t>
  </si>
  <si>
    <t>SERIAL</t>
  </si>
  <si>
    <t>M</t>
  </si>
  <si>
    <t>631-XA   -3060B</t>
  </si>
  <si>
    <t>631-G-0306A DSL FUEL PMP TRP</t>
  </si>
  <si>
    <t>631-XI   -3060</t>
  </si>
  <si>
    <t>DCS INDICATION AUTO POSITION</t>
  </si>
  <si>
    <t>631-G-0306A DSL FUEL PMP AUTO POSITION</t>
  </si>
  <si>
    <t>631-HS   -3061D</t>
  </si>
  <si>
    <t>631-M-3061</t>
  </si>
  <si>
    <t>631-G-0306B DSL FUEL PMP START</t>
  </si>
  <si>
    <t>631-HS   -3061E</t>
  </si>
  <si>
    <t>631-G-0306B DSL FUEL PMP STP</t>
  </si>
  <si>
    <t>631-XA   -3061A</t>
  </si>
  <si>
    <t>631-G-0306B DSL FUEL PMP FLT</t>
  </si>
  <si>
    <t>631-XA   -3061B</t>
  </si>
  <si>
    <t>631-G-0306B DSL FUEL PMP TRP</t>
  </si>
  <si>
    <t>631-XI   -3061</t>
  </si>
  <si>
    <t>631-G-0306B DSL FUEL PMP AUTO POSITION</t>
  </si>
  <si>
    <t>631-PIT  -3051</t>
  </si>
  <si>
    <t>631-P-3051</t>
  </si>
  <si>
    <t>PRESSURE INDICATING TRANSMITTER</t>
  </si>
  <si>
    <t>631-D-0305 DSL FUEL TNK PR</t>
  </si>
  <si>
    <t>1</t>
  </si>
  <si>
    <t>psiG</t>
  </si>
  <si>
    <t>631-PI   -3051</t>
  </si>
  <si>
    <t>DCS PRESSURE INDICATION</t>
  </si>
  <si>
    <t>631-PDIT -3053</t>
  </si>
  <si>
    <t>631-P-3053</t>
  </si>
  <si>
    <t>D/P TRANSMITTER</t>
  </si>
  <si>
    <t>631-D-0304A DSL FUEL FLTR DP</t>
  </si>
  <si>
    <t>80</t>
  </si>
  <si>
    <t>psi</t>
  </si>
  <si>
    <t>631-D-0304A</t>
  </si>
  <si>
    <t>631-PDI  -3053</t>
  </si>
  <si>
    <t>DIFF PRESSURE INDICATION</t>
  </si>
  <si>
    <t>631-PDAH -3053</t>
  </si>
  <si>
    <t>DIFF PRESSURE ALARM HIGH</t>
  </si>
  <si>
    <t>631-D-0304A DSL FUEL FLTR DP HI</t>
  </si>
  <si>
    <t>9</t>
  </si>
  <si>
    <t>631-PDIT -3054</t>
  </si>
  <si>
    <t>631-P-3054</t>
  </si>
  <si>
    <t>631-D-0304B DSL FUEL FLTR DP</t>
  </si>
  <si>
    <t>631-PDI  -3054</t>
  </si>
  <si>
    <t>631-PDAH -3054</t>
  </si>
  <si>
    <t>631-D-0304B DSL FUEL FLTR DP HI</t>
  </si>
  <si>
    <t>631-PIT  -3057</t>
  </si>
  <si>
    <t>631-P-3057</t>
  </si>
  <si>
    <t>631-G-0306A DSL FUEL PMP DISCH PR</t>
  </si>
  <si>
    <t>150</t>
  </si>
  <si>
    <t>631-PI   -3057</t>
  </si>
  <si>
    <t>631-PAH  -3057</t>
  </si>
  <si>
    <t>PRESSURE ALARM HIGH</t>
  </si>
  <si>
    <t>631-G-0306A DSL FUEL PMP DISCH PR HI</t>
  </si>
  <si>
    <t>105</t>
  </si>
  <si>
    <t>631-PIT  -3058</t>
  </si>
  <si>
    <t>631-P-3058</t>
  </si>
  <si>
    <t>631-G-0306B DSL FUEL PMP DISCH PR</t>
  </si>
  <si>
    <t>631-PI   -3058</t>
  </si>
  <si>
    <t>631-PAH  -3058</t>
  </si>
  <si>
    <t>631-G-0306B DSL FUEL PMP DISCH PR HI</t>
  </si>
  <si>
    <t>631-TIT  -3051</t>
  </si>
  <si>
    <t>631-T-3051</t>
  </si>
  <si>
    <t>TEMPERATURE INDICATING TRANSMITTER</t>
  </si>
  <si>
    <t>631-G-0306A DSL FUEL PMP DISCH TEMP</t>
  </si>
  <si>
    <t>160</t>
  </si>
  <si>
    <t>°F</t>
  </si>
  <si>
    <t>631-TI   -3051</t>
  </si>
  <si>
    <t>DCS TEMPERATURE INDICATION</t>
  </si>
  <si>
    <t>631-TIT  -3052</t>
  </si>
  <si>
    <t>631-T-3052</t>
  </si>
  <si>
    <t>631-G-0306B DSL FUEL PMP DISCH TEMP</t>
  </si>
  <si>
    <t>631-TI   -3052</t>
  </si>
  <si>
    <t>631-XR   -3056</t>
  </si>
  <si>
    <t>631-X-3056</t>
  </si>
  <si>
    <t>LOCAL PANEL STROBE/HORN</t>
  </si>
  <si>
    <t>631-LCP-4035 DSL FUEL TNK LVL HI HORN</t>
  </si>
  <si>
    <t>CA-741762-001</t>
  </si>
  <si>
    <t>631-AY   -0421</t>
  </si>
  <si>
    <t>631-A-0421</t>
  </si>
  <si>
    <t>631-G-0119A/B TO CRD SHIP PMP SUC HDR VLV</t>
  </si>
  <si>
    <t>631-XSH  -0421</t>
  </si>
  <si>
    <t>631-G-0119A/B TO CRD SHIP PMP SUC HDR VLV OPN</t>
  </si>
  <si>
    <t>631-XSL  -0421</t>
  </si>
  <si>
    <t>631-G-0119A/B TO CRD SHIP PMP SUC HDR VLV CLS</t>
  </si>
  <si>
    <t>631-XIH  -0421</t>
  </si>
  <si>
    <t>631-XIL  -0421</t>
  </si>
  <si>
    <t>631-HS   -0421A</t>
  </si>
  <si>
    <t>631-G-0119A/B TO CRD SHIP PMP SUC HDR OPN</t>
  </si>
  <si>
    <t>631-HS   -0421B</t>
  </si>
  <si>
    <t>631-G-0119A/B TO CRD SHIP PMP SUC HDR CLS</t>
  </si>
  <si>
    <t>631-XA   -0421</t>
  </si>
  <si>
    <t>631-G-0119A/B TO CRD SHIP PMP SUC HDR FLT</t>
  </si>
  <si>
    <t>631-FIT  -0421</t>
  </si>
  <si>
    <t>631-F-0421</t>
  </si>
  <si>
    <t>FLOW TRANSMITTER - VARIABLE AREA</t>
  </si>
  <si>
    <t>631-D-0118 CLS DRN DRM INL FG FLO</t>
  </si>
  <si>
    <t>SCFM</t>
  </si>
  <si>
    <t>631-FI   -0421</t>
  </si>
  <si>
    <t>FLOW INDICATION</t>
  </si>
  <si>
    <t>631-FAL  -0421</t>
  </si>
  <si>
    <t>631-D-0118 CLS DRN DRM INL FG FLO LO</t>
  </si>
  <si>
    <t>15</t>
  </si>
  <si>
    <t>631-LIT  -0421</t>
  </si>
  <si>
    <t>631-L-0421</t>
  </si>
  <si>
    <t>631-D-0118 CLS DRN DRM LVL</t>
  </si>
  <si>
    <t>55</t>
  </si>
  <si>
    <t>631-D-0118</t>
  </si>
  <si>
    <t>631-LIC  -0421</t>
  </si>
  <si>
    <t>631-D-0118 CLS DRN DRM LVL CTRL</t>
  </si>
  <si>
    <t>631-LAH  -0421</t>
  </si>
  <si>
    <t>631-D-0118 CLS DRN DRM LVL HI</t>
  </si>
  <si>
    <t>85.8</t>
  </si>
  <si>
    <t>631-LAL  -0421</t>
  </si>
  <si>
    <t>631-D-0118 CLS DRN DRM LVL LO</t>
  </si>
  <si>
    <t>24.5</t>
  </si>
  <si>
    <t>631-LY   -0421</t>
  </si>
  <si>
    <t>FUNCTION BLOCK</t>
  </si>
  <si>
    <t>631-D-0118 CLS DRN DRM LVL FNC BLK</t>
  </si>
  <si>
    <t>631-HS   -0421</t>
  </si>
  <si>
    <t>DCS HAND SWITCH</t>
  </si>
  <si>
    <t>631-D-0119A/B CLS DRN PMP LEAD LAG SEL</t>
  </si>
  <si>
    <t>631-HS   -0423D</t>
  </si>
  <si>
    <t>631-M-0423</t>
  </si>
  <si>
    <t>631-G-0119A CLS DRN PMP START</t>
  </si>
  <si>
    <t>631-HS   -0423E</t>
  </si>
  <si>
    <t>631-G-0119A CLS DRN PMP STP</t>
  </si>
  <si>
    <t>631-XA   -0423A</t>
  </si>
  <si>
    <t>631-G-0119A CLS DRN PMP FLT</t>
  </si>
  <si>
    <t>631-XA   -0423B</t>
  </si>
  <si>
    <t>631-G-0119A CLS DRN PMP TRP</t>
  </si>
  <si>
    <t>631-XI   -0423</t>
  </si>
  <si>
    <t>631-G-0119A CLS DRN PMP AUTO POSITION</t>
  </si>
  <si>
    <t>631-HS   -0424D</t>
  </si>
  <si>
    <t>631-M-0424</t>
  </si>
  <si>
    <t>631-G-0119B CLS DRN PMP START</t>
  </si>
  <si>
    <t>631-HS   -0424E</t>
  </si>
  <si>
    <t>631-G-0119B CLS DRN PMP STP</t>
  </si>
  <si>
    <t>631-XA   -0424A</t>
  </si>
  <si>
    <t>631-G-0119B CLS DRN PMP FLT</t>
  </si>
  <si>
    <t>631-XA   -0424B</t>
  </si>
  <si>
    <t>631-G-0119B CLS DRN PMP TRP</t>
  </si>
  <si>
    <t>631-XI   -0424</t>
  </si>
  <si>
    <t>631-G-0119B CLS DRN PMP AUTO POSITION</t>
  </si>
  <si>
    <t>631-PIT  -0424</t>
  </si>
  <si>
    <t>631-P-0424</t>
  </si>
  <si>
    <t>631-G-0119A CLS DRN PMP DISCH PR</t>
  </si>
  <si>
    <t>500</t>
  </si>
  <si>
    <t>631-PI   -0424</t>
  </si>
  <si>
    <t>631-PAH  -0424</t>
  </si>
  <si>
    <t>631-G-0119A CLS DRN PMP DISCH PR HI</t>
  </si>
  <si>
    <t>305</t>
  </si>
  <si>
    <t>631-PAL  -0424</t>
  </si>
  <si>
    <t>PRESSURE ALARM LOW</t>
  </si>
  <si>
    <t>631-G-0119A CLS DRN PMP DISCH PR LO</t>
  </si>
  <si>
    <t>257</t>
  </si>
  <si>
    <t>631-PIT  -0425</t>
  </si>
  <si>
    <t>631-P-0425</t>
  </si>
  <si>
    <t>631-G-0119B CLS DRN PMP DISCH PR</t>
  </si>
  <si>
    <t>631-PI   -0425</t>
  </si>
  <si>
    <t>631-PAH  -0425</t>
  </si>
  <si>
    <t>631-G-0119B CLS DRN PMP DISCH PR HI</t>
  </si>
  <si>
    <t>631-PAL  -0425</t>
  </si>
  <si>
    <t>631-G-0119B CLS DRN PMP DISCH PR LO</t>
  </si>
  <si>
    <t>631-PDIT -0429</t>
  </si>
  <si>
    <t>631-P-0429</t>
  </si>
  <si>
    <t>631-G-0119A CLS DRN PMP SUC STNR DP</t>
  </si>
  <si>
    <t>2</t>
  </si>
  <si>
    <t>631-PDI  -0429</t>
  </si>
  <si>
    <t>631-PDAH -0429</t>
  </si>
  <si>
    <t>631-G-0119A CLS DRN PMP SUC STNR DP HI</t>
  </si>
  <si>
    <t>631-PDIT -0430</t>
  </si>
  <si>
    <t>631-P-0430</t>
  </si>
  <si>
    <t>631-G-0119B CLS DRN PMP SUC STNR DP</t>
  </si>
  <si>
    <t>631-PDI  -0430</t>
  </si>
  <si>
    <t>631-PDAH -0430</t>
  </si>
  <si>
    <t>631-G-0119B CLS DRN PMP SUC STNR DP HI</t>
  </si>
  <si>
    <t>631-PIT  -0431</t>
  </si>
  <si>
    <t>631-P-0431</t>
  </si>
  <si>
    <t>631-G-0119A/B CLS DRN PMP DISCH PR</t>
  </si>
  <si>
    <t>631-PI   -0431</t>
  </si>
  <si>
    <t>631-PY   -0431</t>
  </si>
  <si>
    <t>631-G-0119A/B MIN FLOW RECYC PR</t>
  </si>
  <si>
    <t>631-PAH  -0431</t>
  </si>
  <si>
    <t>631-G-0119A/B CLS DRN PMP DISCH PR HI</t>
  </si>
  <si>
    <t>315</t>
  </si>
  <si>
    <t>631-PIC  -0431</t>
  </si>
  <si>
    <t>PRESSURE INDICATION CONTROLLER</t>
  </si>
  <si>
    <t>631-G-0119A/B CLS DRN PMP DISCH PR CTRL</t>
  </si>
  <si>
    <t/>
  </si>
  <si>
    <t>631-PI   -0713</t>
  </si>
  <si>
    <t>631-P-0713</t>
  </si>
  <si>
    <t>631-G-0119A CLS DRN PMP SEAL PR</t>
  </si>
  <si>
    <t>631-PIT  -0713</t>
  </si>
  <si>
    <t>60</t>
  </si>
  <si>
    <t>631-G-0119A</t>
  </si>
  <si>
    <t>631-PAH  -0713</t>
  </si>
  <si>
    <t>631-G-0119A CLS DRN PMP SEAL PR HI</t>
  </si>
  <si>
    <t>40</t>
  </si>
  <si>
    <t>631-PAL  -0713</t>
  </si>
  <si>
    <t>631-G-0119A CLS DRN PMP SEAL PR LO</t>
  </si>
  <si>
    <t>25</t>
  </si>
  <si>
    <t>631-PI   -0714</t>
  </si>
  <si>
    <t>631-P-0714</t>
  </si>
  <si>
    <t>631-G-0119B CLS DRN PMP SEAL PR</t>
  </si>
  <si>
    <t>631-PIT  -0714</t>
  </si>
  <si>
    <t>631-G-0119B</t>
  </si>
  <si>
    <t>631-PAH  -0714</t>
  </si>
  <si>
    <t>631-G-0119B CLS DRN PMP SEAL PR HI</t>
  </si>
  <si>
    <t>631-PAL  -0714</t>
  </si>
  <si>
    <t>631-G-0119B CLS DRN PMP SEAL PR LO</t>
  </si>
  <si>
    <t>631-PI   -0733</t>
  </si>
  <si>
    <t>631-P-0733</t>
  </si>
  <si>
    <t>631-PIT  -0733</t>
  </si>
  <si>
    <t>631-PAH  -0733</t>
  </si>
  <si>
    <t>631-PAL  -0733</t>
  </si>
  <si>
    <t>631-PI   -0734</t>
  </si>
  <si>
    <t>631-P-0734</t>
  </si>
  <si>
    <t>631-PIT  -0734</t>
  </si>
  <si>
    <t>631-PAH  -0734</t>
  </si>
  <si>
    <t>631-PAL  -0734</t>
  </si>
  <si>
    <t>631-TIT  -0713</t>
  </si>
  <si>
    <t>631-T-0713</t>
  </si>
  <si>
    <t>631-G-0119A CLS DRN PMP SEAL TEMP</t>
  </si>
  <si>
    <t>Rev 00d</t>
  </si>
  <si>
    <t>631-TI   -0713</t>
  </si>
  <si>
    <t>631-TAH  -0713A</t>
  </si>
  <si>
    <t>TEMPERATURE ALARM HIGH</t>
  </si>
  <si>
    <t>631-G-0119A CLS DRN PMP SEAL TEMP HI</t>
  </si>
  <si>
    <t>185</t>
  </si>
  <si>
    <t>631-TAH  -0713B</t>
  </si>
  <si>
    <t>203</t>
  </si>
  <si>
    <t>631-TIT  -0714</t>
  </si>
  <si>
    <t>631-T-0714</t>
  </si>
  <si>
    <t>631-G-0119B CLS DRN PMP SEAL TEMP</t>
  </si>
  <si>
    <t>631-TI   -0714</t>
  </si>
  <si>
    <t>631-TAH  -0714A</t>
  </si>
  <si>
    <t>631-G-0119B CLS DRN PMP SEAL TEMP HI</t>
  </si>
  <si>
    <t>631-TAH  -0714B</t>
  </si>
  <si>
    <t>631-TIT  -0733</t>
  </si>
  <si>
    <t>631-T-0733</t>
  </si>
  <si>
    <t>631-TI   -0733</t>
  </si>
  <si>
    <t>631-TAH  -0733A</t>
  </si>
  <si>
    <t>631-TAH  -0733B</t>
  </si>
  <si>
    <t>631-TIT  -0734</t>
  </si>
  <si>
    <t>631-T-0734</t>
  </si>
  <si>
    <t>631-TI   -0734</t>
  </si>
  <si>
    <t>631-TAH  -0734A</t>
  </si>
  <si>
    <t>631-TAH  -0734B</t>
  </si>
  <si>
    <t>CA-741765-001</t>
  </si>
  <si>
    <t>631-AY   -0521</t>
  </si>
  <si>
    <t>631-A-0521</t>
  </si>
  <si>
    <t>631-D-0127 OW DRN DRM TO CD DRM OW VLV</t>
  </si>
  <si>
    <t>631-XSH  -0521</t>
  </si>
  <si>
    <t>631-D-0127 OW DRN DRM TO CD DRM OW VLV OPN</t>
  </si>
  <si>
    <t>631-XSL  -0521</t>
  </si>
  <si>
    <t>631-D-0127 OW DRN DRM TO CD DRM OW VLV CLS</t>
  </si>
  <si>
    <t>631-XIH  -0521</t>
  </si>
  <si>
    <t>631-XIL  -0521</t>
  </si>
  <si>
    <t>631-HS   -0521A</t>
  </si>
  <si>
    <t>631-D-0127 OW DRN DRM TO CD DRM OW OPN</t>
  </si>
  <si>
    <t>631-HS   -0521B</t>
  </si>
  <si>
    <t>631-D-0127 OW DRN DRM TO CD DRM OW CLS</t>
  </si>
  <si>
    <t>631-XA   -0521</t>
  </si>
  <si>
    <t>631-D-0127 OW DRN DRM TO CD DRM OW FLT</t>
  </si>
  <si>
    <t>631-FIT  -0522</t>
  </si>
  <si>
    <t>631-F-0522</t>
  </si>
  <si>
    <t>631-G-0128A/B OW DRN PMP DISCH FLO</t>
  </si>
  <si>
    <t>631-FIC  -0522</t>
  </si>
  <si>
    <t>631-G-0128A/B OW DRN PMP DISCH FLO CTRL</t>
  </si>
  <si>
    <t>631-FY   -0522</t>
  </si>
  <si>
    <t>631-G-0128A/B OW DRN PMP MIN FLO</t>
  </si>
  <si>
    <t>631-HS   -0521</t>
  </si>
  <si>
    <t>631-H-0521</t>
  </si>
  <si>
    <t>DCS HANDSWITCH</t>
  </si>
  <si>
    <t>631-GD-0128A/B OW DRN PMP LEAD LAG SEL</t>
  </si>
  <si>
    <t>631-LIT  -0521</t>
  </si>
  <si>
    <t>631-L-0521</t>
  </si>
  <si>
    <t>631-D-0127 OW DRN DRM LVL</t>
  </si>
  <si>
    <t>71</t>
  </si>
  <si>
    <t>631-D-0127</t>
  </si>
  <si>
    <t>631-LIC  -0521</t>
  </si>
  <si>
    <t>631-D-0127 OW DRN DRM LVL CTRL</t>
  </si>
  <si>
    <t>631-LAH  -0521</t>
  </si>
  <si>
    <t>631-D-0127 OW DRN DRM LVL HI</t>
  </si>
  <si>
    <t>87.1</t>
  </si>
  <si>
    <t>631-LAL  -0521</t>
  </si>
  <si>
    <t>631-D-0127 OW DRN DRM LVL LO</t>
  </si>
  <si>
    <t>15.4</t>
  </si>
  <si>
    <t>631-LY   -0521</t>
  </si>
  <si>
    <t>631-D-0127 OW DRN DRM LVL FNC BLK</t>
  </si>
  <si>
    <t>631-HS   -0523D</t>
  </si>
  <si>
    <t>631-M-0523</t>
  </si>
  <si>
    <t>631-G-0128A OW DRN PMP START</t>
  </si>
  <si>
    <t>631-HS   -0523E</t>
  </si>
  <si>
    <t>631-G-0128A OW DRN PMP STP</t>
  </si>
  <si>
    <t>631-XA   -0523A</t>
  </si>
  <si>
    <t>631-G-0128A OW DRN PMP FLT</t>
  </si>
  <si>
    <t>631-XA   -0523B</t>
  </si>
  <si>
    <t>631-G-0128A OW DRN PMP TRP</t>
  </si>
  <si>
    <t>631-XI   -0523</t>
  </si>
  <si>
    <t>631-G-0128A OW DRN PMP AUTO POSITION</t>
  </si>
  <si>
    <t>631-HS   -0524D</t>
  </si>
  <si>
    <t>631-M-0524</t>
  </si>
  <si>
    <t>631-G-0128B OW DRN PMP START</t>
  </si>
  <si>
    <t>631-HS   -0524E</t>
  </si>
  <si>
    <t>631-G-0128B OW DRN PMP STP</t>
  </si>
  <si>
    <t>631-XA   -0524A</t>
  </si>
  <si>
    <t>631-G-0128B OW DRN PMP FLT</t>
  </si>
  <si>
    <t>631-XA   -0524B</t>
  </si>
  <si>
    <t>631-G-0128B OW DRN PMP TRP</t>
  </si>
  <si>
    <t>631-XI   -0524</t>
  </si>
  <si>
    <t>631-G-0128B OW DRN PMP AUTO POSITION</t>
  </si>
  <si>
    <t>631-PIT  -0521</t>
  </si>
  <si>
    <t>631-P-0521</t>
  </si>
  <si>
    <t>631-G-0128A/B OW DRN PMP DISCH PR</t>
  </si>
  <si>
    <t>631-PI   -0521</t>
  </si>
  <si>
    <t>631-PIT  -0524</t>
  </si>
  <si>
    <t>631-P-0524</t>
  </si>
  <si>
    <t>631-G-0128A OW DRN PMP DISCH PR</t>
  </si>
  <si>
    <t>631-PI   -0524</t>
  </si>
  <si>
    <t>631-PAH  -0524</t>
  </si>
  <si>
    <t>631-G-0128A OW DRN PMP DISCH PR HI</t>
  </si>
  <si>
    <t>631-PAL  -0524</t>
  </si>
  <si>
    <t>631-G-0128A OW DRN PMP DISCH PR LO</t>
  </si>
  <si>
    <t>631-PIT  -0525</t>
  </si>
  <si>
    <t>631-P-0525</t>
  </si>
  <si>
    <t>631-G-0128B OW DRN PMP DISCH PR</t>
  </si>
  <si>
    <t>631-PI   -0525</t>
  </si>
  <si>
    <t>631-PAH  -0525</t>
  </si>
  <si>
    <t>631-G-0128B OW DRN PMP DISCH PR HI</t>
  </si>
  <si>
    <t>631-PAL  -0525</t>
  </si>
  <si>
    <t>631-G-0128B OW DRN PMP DISCH PR LO</t>
  </si>
  <si>
    <t>631-PDIT -0528</t>
  </si>
  <si>
    <t>631-P-0528</t>
  </si>
  <si>
    <t>631-G-0128A OW DRN PMP SUC STNR DP</t>
  </si>
  <si>
    <t>7</t>
  </si>
  <si>
    <t>631-PDI  -0528</t>
  </si>
  <si>
    <t>631-PDAH -0528</t>
  </si>
  <si>
    <t>631-G-0128A OW DRN PMP SUC STNR DP HI</t>
  </si>
  <si>
    <t>5</t>
  </si>
  <si>
    <t>631-PDIT -0529</t>
  </si>
  <si>
    <t>631-P-0529</t>
  </si>
  <si>
    <t>631-G-0128B OW DRN PMP SUC STNR DP</t>
  </si>
  <si>
    <t>631-PDI  -0529</t>
  </si>
  <si>
    <t>631-PDAH -0529</t>
  </si>
  <si>
    <t>631-G-0128B OW DRN PMP SUC STNR DP HI</t>
  </si>
  <si>
    <t>631-PI   -0705</t>
  </si>
  <si>
    <t>631-P-0705</t>
  </si>
  <si>
    <t>631-G-0128A OW DRN PMP SEAL PR</t>
  </si>
  <si>
    <t>631-PIT  -0705</t>
  </si>
  <si>
    <t>631-PAH  -0705</t>
  </si>
  <si>
    <t>631-G-0128A OW DRN PMP SEAL PR HI</t>
  </si>
  <si>
    <t>631-PAL  -0705</t>
  </si>
  <si>
    <t>631-G-0128A OW DRN PMP SEAL PR LO</t>
  </si>
  <si>
    <t>30</t>
  </si>
  <si>
    <t>631-PI   -0706</t>
  </si>
  <si>
    <t>631-P-0706</t>
  </si>
  <si>
    <t>631-G-0128B OW DRN PMP SEAL PR</t>
  </si>
  <si>
    <t>631-PIT  -0706</t>
  </si>
  <si>
    <t>631-PAH  -0706</t>
  </si>
  <si>
    <t>631-G-0128B OW DRN PMP SEAL PR HI</t>
  </si>
  <si>
    <t>631-PAL  -0706</t>
  </si>
  <si>
    <t>631-G-0128B OW DRN PMP SEAL PR LO</t>
  </si>
  <si>
    <t>631-TIT  -0521</t>
  </si>
  <si>
    <t>631-T-0521</t>
  </si>
  <si>
    <t>631-G-0128A/B OW DRN PMP DISCH TEMP</t>
  </si>
  <si>
    <t>631-TI   -0521</t>
  </si>
  <si>
    <t>631-TIT  -0705</t>
  </si>
  <si>
    <t>631-T-0705</t>
  </si>
  <si>
    <t>631-G-0128A OW DRN PMP SEAL TEMP</t>
  </si>
  <si>
    <t>230</t>
  </si>
  <si>
    <t>631-TI   -0705</t>
  </si>
  <si>
    <t>631-TAH  -0705A</t>
  </si>
  <si>
    <t>631-G-0128A OW DRN PMP SEAL TEMP HI</t>
  </si>
  <si>
    <t>176</t>
  </si>
  <si>
    <t>631-TAH  -0705B</t>
  </si>
  <si>
    <t>631-TIT  -0706</t>
  </si>
  <si>
    <t>631-T-0706</t>
  </si>
  <si>
    <t>631-G-0128B OW DRN PMP SEAL TEMP</t>
  </si>
  <si>
    <t>631-TI   -0706</t>
  </si>
  <si>
    <t>631-TAH  -0706A</t>
  </si>
  <si>
    <t>631-G-0128B OW DRN PMP SEAL TEMP HI</t>
  </si>
  <si>
    <t>631-TAH  -0706B</t>
  </si>
  <si>
    <t>631-XVT  -0705</t>
  </si>
  <si>
    <t>631-X-0705</t>
  </si>
  <si>
    <t>VIBRATION TRANSMITTER</t>
  </si>
  <si>
    <t>631-G-0128A OW DRN PMP VBR</t>
  </si>
  <si>
    <t>25.4</t>
  </si>
  <si>
    <t>mm/s</t>
  </si>
  <si>
    <t>AI</t>
  </si>
  <si>
    <t>631-XVAH -0705A</t>
  </si>
  <si>
    <t>VIBRATION ALARM HIGH</t>
  </si>
  <si>
    <t>631-G-0128A OW DRN PMP VBR HI</t>
  </si>
  <si>
    <t>7.6</t>
  </si>
  <si>
    <t>631-XVI  -0705</t>
  </si>
  <si>
    <t>VIBRATION INDICATION</t>
  </si>
  <si>
    <t>631-XVAH -0705B</t>
  </si>
  <si>
    <t>12.7</t>
  </si>
  <si>
    <t>631-XVT  -0706</t>
  </si>
  <si>
    <t>631-X-0706</t>
  </si>
  <si>
    <t>631-G-0128B OW DRN PMP VIBR</t>
  </si>
  <si>
    <t>631-XVAH -0706A</t>
  </si>
  <si>
    <t>631-G-0128B OW DRN PMP VIBR HI</t>
  </si>
  <si>
    <t>631-XVI  -0706</t>
  </si>
  <si>
    <t>631-XVAH -0706B</t>
  </si>
  <si>
    <t>CA-741768-001</t>
  </si>
  <si>
    <t>631-FIT  -3718</t>
  </si>
  <si>
    <t>631-F-3718</t>
  </si>
  <si>
    <t>631-G-0262A POTABLE WTR PMP DISCH FLO</t>
  </si>
  <si>
    <t>200</t>
  </si>
  <si>
    <t>330</t>
  </si>
  <si>
    <t>631-DCS402</t>
  </si>
  <si>
    <t>631-FIC  -3718</t>
  </si>
  <si>
    <t>631-G-0262A POTABLE WTR PMP DISCH FLO CTRL</t>
  </si>
  <si>
    <t>631-FY   -3718</t>
  </si>
  <si>
    <t>631-G-0262A POTABLE WTR PMP MIN FLO</t>
  </si>
  <si>
    <t>631-FAL  -3718</t>
  </si>
  <si>
    <t>631-G-0262A POTABLE WTR PMP DISCH FLO LO</t>
  </si>
  <si>
    <t>631-FIT  -3719</t>
  </si>
  <si>
    <t>631-F-3719</t>
  </si>
  <si>
    <t>631-G-0262B POTABLE WTR PMP DISCH FLO</t>
  </si>
  <si>
    <t>631-FIC  -3719</t>
  </si>
  <si>
    <t>631-G-0262B POTABLE WTR PMP DISCH FLO CTRL</t>
  </si>
  <si>
    <t>631-FY   -3719</t>
  </si>
  <si>
    <t>631-G-0262B POTABLE WTR PMP MIN FLO</t>
  </si>
  <si>
    <t>631-FAL  -3719</t>
  </si>
  <si>
    <t>631-G-0262B POTABLE WTR PMP DISCH FLO LO</t>
  </si>
  <si>
    <t>631-HS   -3702</t>
  </si>
  <si>
    <t>631-H-3702</t>
  </si>
  <si>
    <t>631-G-0262A/B POTABLE WTR PMP DUTY SEL</t>
  </si>
  <si>
    <t>631-HS   -3716D</t>
  </si>
  <si>
    <t>631-M-3716</t>
  </si>
  <si>
    <t>631-G-0262A POTABLE WTR PMP START</t>
  </si>
  <si>
    <t>631-HS   -3716E</t>
  </si>
  <si>
    <t>631-G-0262A POTABLE WTR PMP STP</t>
  </si>
  <si>
    <t>631-XA   -3716A</t>
  </si>
  <si>
    <t>631-G-0262A POTABLE WTR PMP FLT</t>
  </si>
  <si>
    <t>631-XA   -3716B</t>
  </si>
  <si>
    <t>631-G-0262A POTABLE WTR PMP TRP</t>
  </si>
  <si>
    <t>631-XI   -3716</t>
  </si>
  <si>
    <t>631-G-0262A POTABLE WTR PMP AUTO POSITION</t>
  </si>
  <si>
    <t>631-HS   -3717D</t>
  </si>
  <si>
    <t>631-M-3717</t>
  </si>
  <si>
    <t>631-G-0262B POTABLE WTR PMP START</t>
  </si>
  <si>
    <t>631-HS   -3717E</t>
  </si>
  <si>
    <t>631-G-0262B POTABLE WTR PMP STP</t>
  </si>
  <si>
    <t>631-XA   -3717A</t>
  </si>
  <si>
    <t>631-G-0262B POTABLE WTR PMP FLT</t>
  </si>
  <si>
    <t>631-XA   -3717B</t>
  </si>
  <si>
    <t>631-G-0262B POTABLE WTR PMP TRP</t>
  </si>
  <si>
    <t>631-XI   -3717</t>
  </si>
  <si>
    <t>631-G-0262B POTABLE WTR PMP AUTO POSITION</t>
  </si>
  <si>
    <t>631-PIT  -3714</t>
  </si>
  <si>
    <t>631-P-3714</t>
  </si>
  <si>
    <t>631-G-0262A POTABLE WTR PMP DISCH PR</t>
  </si>
  <si>
    <t>120</t>
  </si>
  <si>
    <t>631-PI   -3714</t>
  </si>
  <si>
    <t>631-PAL  -3714</t>
  </si>
  <si>
    <t>631-G-0262A POTABLE WTR PMP DISCH PR LO</t>
  </si>
  <si>
    <t>104</t>
  </si>
  <si>
    <t>631-PIT  -3715</t>
  </si>
  <si>
    <t>631-P-3715</t>
  </si>
  <si>
    <t>631-G-0262B POTABLE WTR PMP DISCH PR</t>
  </si>
  <si>
    <t>631-PI   -3715</t>
  </si>
  <si>
    <t>631-PAL  -3715</t>
  </si>
  <si>
    <t>631-G-0262B POTABLE WTR PMP DISCH PR LO</t>
  </si>
  <si>
    <t>631-TI   -3713</t>
  </si>
  <si>
    <t>631-T-3713</t>
  </si>
  <si>
    <t>631-G-0262A POTABLE WTR PMP THRUST BRNG TEMP</t>
  </si>
  <si>
    <t>631-TIT  -3713</t>
  </si>
  <si>
    <t>631-TAH  -3713A</t>
  </si>
  <si>
    <t>631-G-0262A POTABLE WTR PMP THRUST BRNG TEMP HI</t>
  </si>
  <si>
    <t>631-TAH  -3713B</t>
  </si>
  <si>
    <t>220</t>
  </si>
  <si>
    <t>631-TI   -3714</t>
  </si>
  <si>
    <t>631-T-3714</t>
  </si>
  <si>
    <t>631-TIT  -3714</t>
  </si>
  <si>
    <t>631-TAH  -3714A</t>
  </si>
  <si>
    <t>631-TAH  -3714B</t>
  </si>
  <si>
    <t>631-TI   -3715</t>
  </si>
  <si>
    <t>631-T-3715</t>
  </si>
  <si>
    <t>631-G-0262B POTABLE WTR PMP THURST BRNG TMEP</t>
  </si>
  <si>
    <t>631-TIT  -3715</t>
  </si>
  <si>
    <t>631-TAH  -3715A</t>
  </si>
  <si>
    <t>631-G-0262B POTABLE WTR PMP THURST BRNG TMEP HI</t>
  </si>
  <si>
    <t>631-TAH  -3715B</t>
  </si>
  <si>
    <t>631-TI   -3716</t>
  </si>
  <si>
    <t>631-T-3716</t>
  </si>
  <si>
    <t>631-G-0262A POTABLE WTR PMP RAD BRNG TEMP</t>
  </si>
  <si>
    <t>631-TIT  -3716</t>
  </si>
  <si>
    <t>631-TAH  -3716A</t>
  </si>
  <si>
    <t>631-G-0262A POTABLE WTR PMP RAD BRNG TEMP HI</t>
  </si>
  <si>
    <t>631-TAH  -3716B</t>
  </si>
  <si>
    <t>631-TI   -3717</t>
  </si>
  <si>
    <t>631-T-3717</t>
  </si>
  <si>
    <t>631-G-0262B POTABLE WTR PMP RAD BRNG TEMP</t>
  </si>
  <si>
    <t>631-TIT  -3717</t>
  </si>
  <si>
    <t>631-TAH  -3717A</t>
  </si>
  <si>
    <t>631-G-0262B POTABLE WTR PMP RAD BRNG TEMP HI</t>
  </si>
  <si>
    <t>631-TAH  -3717B</t>
  </si>
  <si>
    <t>631-TI   -3718</t>
  </si>
  <si>
    <t>631-T-3718</t>
  </si>
  <si>
    <t>631-TIT  -3718</t>
  </si>
  <si>
    <t>631-TAH  -3718A</t>
  </si>
  <si>
    <t>631-G-0262B POTABLE WTR PMP THURST BRNG TEMP HI</t>
  </si>
  <si>
    <t>631-TAH  -3718B</t>
  </si>
  <si>
    <t>631-XVT  -3718</t>
  </si>
  <si>
    <t>631-X-3718</t>
  </si>
  <si>
    <t>631-G-0262A POTABLE WTR PMP CASING VIBR</t>
  </si>
  <si>
    <t>631-XVAH -3718A</t>
  </si>
  <si>
    <t>631-G-0262A POTABLE WTR PMP CASING VIBR HI</t>
  </si>
  <si>
    <t>631-XVI  -3718</t>
  </si>
  <si>
    <t>631-XVAH -3718B</t>
  </si>
  <si>
    <t>631-XVT  -3719</t>
  </si>
  <si>
    <t>631-X-3719</t>
  </si>
  <si>
    <t>631-G-0262B POTABLE WTR PMP CASING VIBR</t>
  </si>
  <si>
    <t>631-XVAH -3719A</t>
  </si>
  <si>
    <t>631-G-0262B POTABLE WTR PMP CASING VIBR HI</t>
  </si>
  <si>
    <t>631-XVI  -3719</t>
  </si>
  <si>
    <t>631-XVAH -3719B</t>
  </si>
  <si>
    <t>Project UNTANGLE - Selected P&amp;ID IO Records</t>
  </si>
  <si>
    <t>Sanitized training extract from the DCS IO List</t>
  </si>
  <si>
    <t>Training System</t>
  </si>
  <si>
    <t>P&amp;ID Reference</t>
  </si>
  <si>
    <t>Record Count</t>
  </si>
  <si>
    <t>Closed Drain Drum and Pumps</t>
  </si>
  <si>
    <t>Oily Water Drain Drum and Pumps</t>
  </si>
  <si>
    <t>Diesel Fuel Storage and Pumps</t>
  </si>
  <si>
    <t>Potable Water Pumps</t>
  </si>
  <si>
    <t>Total</t>
  </si>
  <si>
    <t>Scope note</t>
  </si>
  <si>
    <t>The Filtered IO sheet retains all 28 source columns and includes both physical I/O and relevant DCS software/derived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</si>
</sst>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1F2933"/>
      <name val="Calibri"/>
      <family val="2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indexed="8"/>
      <name val="Arial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53B5B"/>
        <bgColor indexed="64"/>
      </patternFill>
    </fill>
    <fill>
      <patternFill patternType="solid">
        <fgColor rgb="FFEAF1F4"/>
        <bgColor indexed="64"/>
      </patternFill>
    </fill>
    <fill>
      <patternFill patternType="solid">
        <fgColor rgb="FF1A7280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D9EAD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</cellStyleXfs>
  <cellXfs count="37">
    <xf numFmtId="0" fontId="0" fillId="0" borderId="0" xfId="0"/>
    <xf numFmtId="0" fontId="18" fillId="0" borderId="0" xfId="0" applyFont="1" applyAlignment="1">
      <alignment horizontal="left" vertical="center"/>
    </xf>
    <xf numFmtId="0" fontId="20" fillId="35" borderId="19" xfId="0" applyFont="1" applyFill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20" fillId="34" borderId="21" xfId="0" applyFont="1" applyFill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33" borderId="2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2" fillId="37" borderId="11" xfId="0" applyFont="1" applyFill="1" applyBorder="1" applyAlignment="1">
      <alignment vertical="center"/>
    </xf>
    <xf numFmtId="0" fontId="23" fillId="38" borderId="11" xfId="0" applyFont="1" applyFill="1" applyBorder="1" applyAlignment="1">
      <alignment vertical="center"/>
    </xf>
    <xf numFmtId="0" fontId="21" fillId="39" borderId="11" xfId="0" applyFont="1" applyFill="1" applyBorder="1" applyAlignment="1">
      <alignment vertical="center"/>
    </xf>
    <xf numFmtId="0" fontId="0" fillId="40" borderId="11" xfId="0" applyFill="1" applyBorder="1" applyAlignment="1">
      <alignment vertical="center"/>
    </xf>
    <xf numFmtId="0" fontId="16" fillId="41" borderId="11" xfId="0" applyFont="1" applyFill="1" applyBorder="1" applyAlignment="1">
      <alignment vertical="center"/>
    </xf>
    <xf numFmtId="0" fontId="0" fillId="0" borderId="11" xfId="0" applyBorder="1" applyAlignment="1">
      <alignment vertical="center" wrapText="1"/>
    </xf>
    <xf numFmtId="0" fontId="24" fillId="37" borderId="15" xfId="0" applyFont="1" applyFill="1" applyBorder="1" applyAlignment="1">
      <alignment horizontal="center" vertical="center" wrapText="1"/>
    </xf>
    <xf numFmtId="0" fontId="24" fillId="37" borderId="10" xfId="0" applyFont="1" applyFill="1" applyBorder="1" applyAlignment="1">
      <alignment horizontal="center" vertical="center" wrapText="1"/>
    </xf>
    <xf numFmtId="0" fontId="24" fillId="37" borderId="16" xfId="0" applyFont="1" applyFill="1" applyBorder="1" applyAlignment="1">
      <alignment horizontal="center" vertical="center" wrapText="1"/>
    </xf>
    <xf numFmtId="0" fontId="24" fillId="37" borderId="17" xfId="0" applyFont="1" applyFill="1" applyBorder="1" applyAlignment="1">
      <alignment horizontal="center" vertical="center" wrapText="1"/>
    </xf>
    <xf numFmtId="0" fontId="24" fillId="37" borderId="18" xfId="0" applyFont="1" applyFill="1" applyBorder="1" applyAlignment="1">
      <alignment horizontal="center" vertical="center" wrapText="1"/>
    </xf>
    <xf numFmtId="0" fontId="24" fillId="37" borderId="23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25" fillId="36" borderId="11" xfId="0" applyFont="1" applyFill="1" applyBorder="1" applyAlignment="1">
      <alignment wrapText="1"/>
    </xf>
    <xf numFmtId="0" fontId="26" fillId="33" borderId="11" xfId="0" applyFont="1" applyFill="1" applyBorder="1" applyAlignment="1">
      <alignment horizontal="left" vertical="center" wrapText="1"/>
    </xf>
    <xf numFmtId="0" fontId="25" fillId="0" borderId="11" xfId="0" applyFont="1" applyBorder="1" applyAlignment="1">
      <alignment wrapText="1"/>
    </xf>
    <xf numFmtId="0" fontId="26" fillId="35" borderId="11" xfId="0" applyFont="1" applyFill="1" applyBorder="1" applyAlignment="1">
      <alignment horizontal="left" vertical="center" wrapText="1"/>
    </xf>
    <xf numFmtId="0" fontId="24" fillId="37" borderId="0" xfId="0" applyFont="1" applyFill="1" applyAlignment="1">
      <alignment wrapText="1"/>
    </xf>
    <xf numFmtId="0" fontId="25" fillId="0" borderId="0" xfId="0" applyFont="1" applyAlignment="1">
      <alignment wrapText="1"/>
    </xf>
    <xf numFmtId="1" fontId="0" fillId="40" borderId="11" xfId="0" applyNumberFormat="1" applyFill="1" applyBorder="1" applyAlignment="1">
      <alignment vertical="center"/>
    </xf>
    <xf numFmtId="1" fontId="16" fillId="41" borderId="11" xfId="0" applyNumberFormat="1" applyFont="1" applyFill="1" applyBorder="1" applyAlignment="1">
      <alignment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9A186FF-4720-4456-AEE9-57EA0D58972A}"/>
    <cellStyle name="Normal 2 2" xfId="43" xr:uid="{621FF254-5724-454B-BB4C-7F1199C7897B}"/>
    <cellStyle name="Normal 4" xfId="44" xr:uid="{5EF83E17-2C2D-4417-B761-F3C3E1BCA3D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53B5B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dcorp\share\Users\savita.jadhav\AppData\Local\Microsoft\Windows\INetCache\Content.Outlook\G8CY7AZK\PP-HM2093_A_WP%20Comment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dcorp\share\Users\raghvendra.wattamwar\Desktop\HPC\MEA-HPC-TemplateVer1.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dcorp\share\Users\raghvendra.wattamwar\Desktop\HPC\hpc%20tool\313501-01-0-7-HeatAndPowerCalculation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2.102.21.11\Personal%20Folders\!!Projects\BP%20SECCO\Engineering\BP-SECCO%20IO-Count%20mit%20Marshall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2.102.21.11\Personal%20Folders\Projects\AP\SECCO\SECCO%20Emerson%20LM%20int%20Mars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2.39.31\Proposals\B%20-%20DATABASES\C%20-%20Forecast%20List\SIS%20Forecast%20List%20new%20Entri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ects\61511\SIS-Questio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2.102.21.11\Personal%20Folders\CSPC\Quotation%20Tools\CSPC%20IO-Cou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"/>
      <sheetName val="Suggetions"/>
      <sheetName val="Instructions"/>
      <sheetName val="Input BoM"/>
      <sheetName val="Input1"/>
      <sheetName val="Database"/>
      <sheetName val="DCreBoM"/>
      <sheetName val="ACreBoM"/>
      <sheetName val="Cover"/>
      <sheetName val="Cover (2)"/>
      <sheetName val="Power Consumption Summary"/>
      <sheetName val="PIB-1  DCS CABINET 1"/>
      <sheetName val="PIB-1  DCS EXP. CABINET 1"/>
      <sheetName val="PIB-2 DCS  CABINET 4"/>
      <sheetName val="PIB-3 GDS CABINET 1"/>
      <sheetName val="PIB-1 ESD CABINET 1"/>
      <sheetName val="PIB-1 ESD EXP. CABINET 1"/>
      <sheetName val="CCR FDS CABINET 1"/>
      <sheetName val="CCR GDS CABINET 1"/>
      <sheetName val="CCR MARSHALLING CABINET 1"/>
      <sheetName val="SERVER CABINET 1"/>
      <sheetName val="NETWORK CABINET 1"/>
      <sheetName val="CCR CONSOLE"/>
      <sheetName val="PIB-1 CONSOLE"/>
      <sheetName val="PIB-2 CONSOLE"/>
      <sheetName val="PIB-3 CONSOLE"/>
      <sheetName val="Field"/>
      <sheetName val="Equipment"/>
      <sheetName val="Drop Down Menu Data"/>
      <sheetName val="bkup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"/>
      <sheetName val="Suggetions"/>
      <sheetName val="Instructions"/>
      <sheetName val="Input BoM"/>
      <sheetName val="Input1"/>
      <sheetName val="Database"/>
      <sheetName val="DCreBoM"/>
      <sheetName val="ACreBoM"/>
      <sheetName val="Index"/>
      <sheetName val="DC_HPC_Template"/>
      <sheetName val="DCS_S series"/>
      <sheetName val="DCS_M series"/>
      <sheetName val="CIOC"/>
      <sheetName val="Server"/>
      <sheetName val="Network"/>
      <sheetName val="SIS_SLS1508"/>
      <sheetName val="CSLS"/>
      <sheetName val="Field"/>
      <sheetName val="PDB"/>
      <sheetName val="Equipment"/>
      <sheetName val="Drop Down Menu Data"/>
      <sheetName val="bkup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Index"/>
      <sheetName val="Cabinet List"/>
      <sheetName val="Server Cabinet"/>
      <sheetName val="Controller Cabinet"/>
      <sheetName val="CIOC CHARM's Baseplate"/>
      <sheetName val="CSLS CHARM's Baseplate"/>
      <sheetName val="Control Cabinet Temp Calcs"/>
      <sheetName val="Equipment"/>
      <sheetName val="Drop Down Menu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Count"/>
      <sheetName val="ESD"/>
      <sheetName val="Systems"/>
      <sheetName val="Local Content"/>
      <sheetName val="LC-WinVis"/>
      <sheetName val="WinVis"/>
      <sheetName val="Network"/>
      <sheetName val="Names"/>
      <sheetName val="Local Content-old"/>
      <sheetName val="BP-SECCO IO-Count mit Marshalli"/>
      <sheetName val="내역"/>
    </sheetNames>
    <definedNames>
      <definedName name="F_3237" refersTo="='Systems'!$I$15:$I$37"/>
      <definedName name="F_3330" refersTo="='Systems'!$J$15:$J$37"/>
      <definedName name="F_3331" refersTo="='Systems'!$K$15:$K$37"/>
      <definedName name="F_5220"/>
      <definedName name="F_6217" refersTo="='Systems'!$G$15:$G$37"/>
      <definedName name="Far_No" refersTo="='Systems'!$A$15:$A$37"/>
      <definedName name="Racks"/>
      <definedName name="Z_F3236"/>
      <definedName name="Z_F3237"/>
      <definedName name="Z_F3330"/>
      <definedName name="Z_F3331"/>
      <definedName name="Z_F5220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_Confidential"/>
      <sheetName val="Payment Terms"/>
      <sheetName val="Pricelist2001"/>
      <sheetName val="Price Overview"/>
      <sheetName val="Olefins"/>
      <sheetName val="CCR"/>
      <sheetName val="Aromatics"/>
      <sheetName val="Styrene"/>
      <sheetName val="Polystyrene"/>
      <sheetName val="Polyethylene"/>
      <sheetName val="Polypropylene"/>
      <sheetName val="Acrylonitrile"/>
      <sheetName val="Offsites"/>
      <sheetName val="SAR"/>
      <sheetName val="MMA"/>
      <sheetName val="Commissioning Spares"/>
      <sheetName val="2 Year Operation Spares"/>
      <sheetName val="Total Equipment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 Forecast Master"/>
      <sheetName val="SIS Resources EMA "/>
      <sheetName val="PATT"/>
      <sheetName val="SIS Forecast Work file "/>
      <sheetName val="SIS Forecast Dropoffs"/>
      <sheetName val="SIS Forecast Open"/>
      <sheetName val="SIS Forecast Won"/>
      <sheetName val="Price Detai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s"/>
      <sheetName val="Limitations"/>
      <sheetName val="Namen"/>
      <sheetName val="Function Blocks"/>
      <sheetName val="IOConfig"/>
      <sheetName val="SIS Resources EMA 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IO Account"/>
      <sheetName val="IPS"/>
      <sheetName val="FGS"/>
      <sheetName val="Systems"/>
      <sheetName val="Names"/>
      <sheetName val="P+F"/>
      <sheetName val="costing_CV"/>
      <sheetName val="Name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C0966-2B80-4556-9D16-C53C08958C04}" name="FilteredIORecords" displayName="FilteredIORecords" ref="A1:AB272" totalsRowShown="0" headerRowDxfId="29" dataDxfId="28">
  <autoFilter ref="A1:AB272" xr:uid="{EAAEAE58-F295-4F3A-AD0B-BD19D756663E}">
    <filterColumn colId="5">
      <filters>
        <filter val="631-U-0263 PANEL A COMMON  TRB"/>
        <filter val="631-U-0263 PANEL A RUNNING FEEDBACK/ UNIT S/D"/>
        <filter val="631-U-0263 PANEL B RUNNING FEEDBACK/ UNIT S/D"/>
        <filter val="631-U-0263 POTABLE WTR TREATMENT UNIT TRB"/>
      </filters>
    </filterColumn>
  </autoFilter>
  <tableColumns count="28">
    <tableColumn id="1" xr3:uid="{0807F075-AC0F-4AE7-BDD5-0DAEAE620918}" name="PID" dataDxfId="27"/>
    <tableColumn id="2" xr3:uid="{2DD2E8D9-BF02-4DE3-A6BC-645F2F9F4B0E}" name="Tag Number" dataDxfId="26"/>
    <tableColumn id="3" xr3:uid="{9BAF74A2-9867-453A-9C04-26862B224389}" name="Loop Name" dataDxfId="25"/>
    <tableColumn id="4" xr3:uid="{8A8425D4-AB7E-439C-BFA7-E3A3B4B0632E}" name="Location" dataDxfId="24"/>
    <tableColumn id="5" xr3:uid="{81D92E0E-BE8B-48C7-ABCA-C42CABF690B5}" name="Instrument Type" dataDxfId="23"/>
    <tableColumn id="6" xr3:uid="{EA1314E2-FAD2-4764-A0DA-A992101C422D}" name="Service" dataDxfId="22"/>
    <tableColumn id="7" xr3:uid="{D6C6DE84-FB72-4463-B6D0-7813C56AD8AE}" name="Calibration Range Min" dataDxfId="21"/>
    <tableColumn id="8" xr3:uid="{AA1DD02A-114A-4CFA-9AFB-D79877DDC213}" name="Calibration Range Max" dataDxfId="20"/>
    <tableColumn id="9" xr3:uid="{C7B97A42-2D0A-4D1D-87F0-52E67C7677A8}" name="Calibration Range Units" dataDxfId="19"/>
    <tableColumn id="10" xr3:uid="{69C52F93-7634-4508-B97D-5DE8624788DC}" name="DCS Range Min" dataDxfId="18"/>
    <tableColumn id="11" xr3:uid="{5C10475C-0766-495D-8212-26B9E1F4BB01}" name="DCS Range Max" dataDxfId="17"/>
    <tableColumn id="12" xr3:uid="{3F1DD26E-81CA-4287-B546-E71F190822AE}" name="DCS Range Units" dataDxfId="16"/>
    <tableColumn id="13" xr3:uid="{D58CF839-56D9-4BF2-BE3F-9CD08A56AA41}" name="Alarm High" dataDxfId="15"/>
    <tableColumn id="14" xr3:uid="{D64B74B6-CF61-4DE5-9112-6CCD83A9CD5F}" name="Alarm High High" dataDxfId="14"/>
    <tableColumn id="15" xr3:uid="{DB8FB6D5-C86C-478F-A558-929364A9D54D}" name="High High Trip" dataDxfId="13"/>
    <tableColumn id="16" xr3:uid="{E48C1201-444F-4213-9BED-6FBB3CFEB254}" name="Alarm Low" dataDxfId="12"/>
    <tableColumn id="17" xr3:uid="{847D3505-B283-485B-B72A-9F1350308E7E}" name="Alarm Low Low" dataDxfId="11"/>
    <tableColumn id="18" xr3:uid="{24630B27-FC6F-4A67-A53C-B678037BC787}" name="Low Low Trip" dataDxfId="10"/>
    <tableColumn id="19" xr3:uid="{D14ED3D9-01CA-4B1C-ADF4-566D198F753B}" name="Alarm Units" dataDxfId="9"/>
    <tableColumn id="20" xr3:uid="{5A8439EE-8C49-4557-9B9A-94530C985299}" name="Equipment Name" dataDxfId="8"/>
    <tableColumn id="21" xr3:uid="{D8C9FD97-B823-4C5C-9203-089CF4F4583B}" name="I/O Type Name" dataDxfId="7"/>
    <tableColumn id="22" xr3:uid="{6F8FE5E2-EE49-483E-8CD3-A0D75EA92090}" name="Controller No." dataDxfId="6"/>
    <tableColumn id="23" xr3:uid="{CAD939F9-DD48-4E38-8091-B4A3EC4A4714}" name="Signal Type" dataDxfId="5"/>
    <tableColumn id="24" xr3:uid="{F6E72B2C-F87D-4B50-BCD4-00F9F71A18B5}" name="System Type" dataDxfId="4"/>
    <tableColumn id="25" xr3:uid="{61E4F2D7-A4B4-472D-AE57-4DCF10044F68}" name="Device Protocol" dataDxfId="3"/>
    <tableColumn id="26" xr3:uid="{E8E863AC-E337-4B80-AAC9-8D1B44BE6195}" name="Power Supply" dataDxfId="2"/>
    <tableColumn id="27" xr3:uid="{FA41EF76-9795-449E-98ED-F1802B10A571}" name="Remarks" dataDxfId="1"/>
    <tableColumn id="28" xr3:uid="{0FCE9F1E-DE5F-4F78-B565-62F429FEC244}" name="Re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FFA1-A982-4034-BA44-6146480E05B9}">
  <dimension ref="A1:L4"/>
  <sheetViews>
    <sheetView zoomScale="85" zoomScaleNormal="85" workbookViewId="0">
      <selection activeCell="B30" sqref="B30"/>
    </sheetView>
  </sheetViews>
  <sheetFormatPr defaultRowHeight="15"/>
  <cols>
    <col min="1" max="1" width="9.42578125" customWidth="1"/>
    <col min="2" max="2" width="37.140625" customWidth="1"/>
    <col min="4" max="4" width="109.140625" customWidth="1"/>
  </cols>
  <sheetData>
    <row r="1" spans="1:12" ht="15.75" thickBot="1"/>
    <row r="2" spans="1:12" ht="39.950000000000003" customHeight="1" thickBot="1">
      <c r="A2" s="2"/>
      <c r="B2" s="3" t="s">
        <v>0</v>
      </c>
    </row>
    <row r="3" spans="1:12" ht="39.950000000000003" customHeight="1" thickBot="1">
      <c r="A3" s="4"/>
      <c r="B3" s="5" t="s">
        <v>1</v>
      </c>
    </row>
    <row r="4" spans="1:12" ht="39.950000000000003" customHeight="1" thickBot="1">
      <c r="A4" s="6"/>
      <c r="B4" s="5" t="s">
        <v>2</v>
      </c>
      <c r="D4" s="7" t="s">
        <v>3</v>
      </c>
      <c r="E4" s="7"/>
      <c r="F4" s="7"/>
      <c r="G4" s="7"/>
      <c r="H4" s="7"/>
      <c r="I4" s="7"/>
      <c r="J4" s="7"/>
      <c r="K4" s="7"/>
      <c r="L4" s="7"/>
    </row>
  </sheetData>
  <mergeCells count="1">
    <mergeCell ref="D4:L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F687-EE90-4F15-A9D0-B94F5890E6E8}">
  <sheetPr filterMode="1"/>
  <dimension ref="A1:AB272"/>
  <sheetViews>
    <sheetView zoomScaleNormal="100" workbookViewId="0">
      <pane xSplit="1" ySplit="1" topLeftCell="B2" activePane="bottomRight" state="frozen"/>
      <selection pane="bottomRight" activeCell="F2459" sqref="F2459"/>
      <selection pane="bottomLeft" activeCell="A2" sqref="A2"/>
      <selection pane="topRight" activeCell="B1" sqref="B1"/>
    </sheetView>
  </sheetViews>
  <sheetFormatPr defaultRowHeight="15"/>
  <cols>
    <col min="1" max="2" width="20" customWidth="1"/>
    <col min="3" max="3" width="18.140625" customWidth="1"/>
    <col min="4" max="4" width="11.5703125" bestFit="1" customWidth="1"/>
    <col min="5" max="5" width="41.85546875" customWidth="1"/>
    <col min="6" max="6" width="49.5703125" customWidth="1"/>
    <col min="7" max="7" width="13.140625" bestFit="1" customWidth="1"/>
    <col min="8" max="8" width="13.28515625" bestFit="1" customWidth="1"/>
    <col min="9" max="9" width="19.42578125" bestFit="1" customWidth="1"/>
    <col min="10" max="12" width="13.5703125" bestFit="1" customWidth="1"/>
    <col min="13" max="14" width="13.28515625" bestFit="1" customWidth="1"/>
    <col min="15" max="15" width="16.140625" bestFit="1" customWidth="1"/>
    <col min="16" max="17" width="12.85546875" bestFit="1" customWidth="1"/>
    <col min="18" max="18" width="15.28515625" bestFit="1" customWidth="1"/>
    <col min="19" max="19" width="10.140625" bestFit="1" customWidth="1"/>
    <col min="20" max="20" width="19.140625" bestFit="1" customWidth="1"/>
    <col min="21" max="21" width="10.42578125" bestFit="1" customWidth="1"/>
    <col min="22" max="22" width="15.85546875" bestFit="1" customWidth="1"/>
    <col min="23" max="23" width="13.7109375" bestFit="1" customWidth="1"/>
    <col min="24" max="24" width="9.85546875" bestFit="1" customWidth="1"/>
    <col min="25" max="25" width="10.85546875" bestFit="1" customWidth="1"/>
    <col min="26" max="26" width="9.42578125" bestFit="1" customWidth="1"/>
    <col min="27" max="27" width="24.7109375" customWidth="1"/>
    <col min="28" max="28" width="14.28515625" customWidth="1"/>
  </cols>
  <sheetData>
    <row r="1" spans="1:28" ht="24" thickBot="1">
      <c r="A1" s="14" t="s">
        <v>4</v>
      </c>
      <c r="B1" s="15" t="s">
        <v>5</v>
      </c>
      <c r="C1" s="16" t="s">
        <v>6</v>
      </c>
      <c r="D1" s="17" t="s">
        <v>7</v>
      </c>
      <c r="E1" s="15" t="s">
        <v>8</v>
      </c>
      <c r="F1" s="15" t="s">
        <v>9</v>
      </c>
      <c r="G1" s="16" t="s">
        <v>10</v>
      </c>
      <c r="H1" s="16" t="s">
        <v>11</v>
      </c>
      <c r="I1" s="16" t="s">
        <v>12</v>
      </c>
      <c r="J1" s="16" t="s">
        <v>13</v>
      </c>
      <c r="K1" s="16" t="s">
        <v>14</v>
      </c>
      <c r="L1" s="16" t="s">
        <v>15</v>
      </c>
      <c r="M1" s="16" t="s">
        <v>16</v>
      </c>
      <c r="N1" s="16" t="s">
        <v>17</v>
      </c>
      <c r="O1" s="16" t="s">
        <v>18</v>
      </c>
      <c r="P1" s="17" t="s">
        <v>19</v>
      </c>
      <c r="Q1" s="17" t="s">
        <v>20</v>
      </c>
      <c r="R1" s="16" t="s">
        <v>21</v>
      </c>
      <c r="S1" s="16" t="s">
        <v>22</v>
      </c>
      <c r="T1" s="17" t="s">
        <v>23</v>
      </c>
      <c r="U1" s="17" t="s">
        <v>24</v>
      </c>
      <c r="V1" s="16" t="s">
        <v>25</v>
      </c>
      <c r="W1" s="17" t="s">
        <v>26</v>
      </c>
      <c r="X1" s="17" t="s">
        <v>27</v>
      </c>
      <c r="Y1" s="17" t="s">
        <v>28</v>
      </c>
      <c r="Z1" s="17" t="s">
        <v>29</v>
      </c>
      <c r="AA1" s="18" t="s">
        <v>30</v>
      </c>
      <c r="AB1" s="19" t="s">
        <v>31</v>
      </c>
    </row>
    <row r="2" spans="1:28" s="1" customFormat="1" ht="12.75">
      <c r="A2" s="20" t="s">
        <v>32</v>
      </c>
      <c r="B2" s="21" t="s">
        <v>33</v>
      </c>
      <c r="C2" s="22" t="s">
        <v>34</v>
      </c>
      <c r="D2" s="22" t="s">
        <v>35</v>
      </c>
      <c r="E2" s="23" t="s">
        <v>36</v>
      </c>
      <c r="F2" s="23" t="s">
        <v>37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 t="s">
        <v>38</v>
      </c>
      <c r="V2" s="23" t="s">
        <v>39</v>
      </c>
      <c r="W2" s="23" t="s">
        <v>40</v>
      </c>
      <c r="X2" s="23" t="s">
        <v>41</v>
      </c>
      <c r="Y2" s="23" t="s">
        <v>42</v>
      </c>
      <c r="Z2" s="23" t="s">
        <v>43</v>
      </c>
      <c r="AA2" s="23" t="s">
        <v>44</v>
      </c>
      <c r="AB2" s="24"/>
    </row>
    <row r="3" spans="1:28" s="1" customFormat="1" ht="12.75">
      <c r="A3" s="20" t="s">
        <v>32</v>
      </c>
      <c r="B3" s="21" t="s">
        <v>45</v>
      </c>
      <c r="C3" s="22" t="s">
        <v>34</v>
      </c>
      <c r="D3" s="22" t="s">
        <v>35</v>
      </c>
      <c r="E3" s="23" t="s">
        <v>46</v>
      </c>
      <c r="F3" s="23" t="s">
        <v>47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 t="s">
        <v>48</v>
      </c>
      <c r="V3" s="23" t="s">
        <v>39</v>
      </c>
      <c r="W3" s="23" t="s">
        <v>49</v>
      </c>
      <c r="X3" s="23" t="s">
        <v>41</v>
      </c>
      <c r="Y3" s="23" t="s">
        <v>42</v>
      </c>
      <c r="Z3" s="23" t="s">
        <v>43</v>
      </c>
      <c r="AA3" s="23" t="s">
        <v>44</v>
      </c>
      <c r="AB3" s="24"/>
    </row>
    <row r="4" spans="1:28" s="1" customFormat="1" ht="12.75">
      <c r="A4" s="20" t="s">
        <v>32</v>
      </c>
      <c r="B4" s="21" t="s">
        <v>50</v>
      </c>
      <c r="C4" s="22" t="s">
        <v>34</v>
      </c>
      <c r="D4" s="22" t="s">
        <v>35</v>
      </c>
      <c r="E4" s="23" t="s">
        <v>51</v>
      </c>
      <c r="F4" s="23" t="s">
        <v>52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">
        <v>48</v>
      </c>
      <c r="V4" s="23" t="s">
        <v>39</v>
      </c>
      <c r="W4" s="23" t="s">
        <v>49</v>
      </c>
      <c r="X4" s="23" t="s">
        <v>41</v>
      </c>
      <c r="Y4" s="23" t="s">
        <v>42</v>
      </c>
      <c r="Z4" s="23" t="s">
        <v>43</v>
      </c>
      <c r="AA4" s="23" t="s">
        <v>44</v>
      </c>
      <c r="AB4" s="24"/>
    </row>
    <row r="5" spans="1:28" s="1" customFormat="1" ht="12.75">
      <c r="A5" s="20" t="s">
        <v>32</v>
      </c>
      <c r="B5" s="21" t="s">
        <v>53</v>
      </c>
      <c r="C5" s="22" t="s">
        <v>34</v>
      </c>
      <c r="D5" s="22" t="s">
        <v>41</v>
      </c>
      <c r="E5" s="23" t="s">
        <v>54</v>
      </c>
      <c r="F5" s="23" t="s">
        <v>47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 t="s">
        <v>55</v>
      </c>
      <c r="V5" s="23"/>
      <c r="W5" s="23" t="s">
        <v>56</v>
      </c>
      <c r="X5" s="23" t="s">
        <v>41</v>
      </c>
      <c r="Y5" s="23" t="s">
        <v>56</v>
      </c>
      <c r="Z5" s="23" t="s">
        <v>43</v>
      </c>
      <c r="AA5" s="23" t="s">
        <v>44</v>
      </c>
      <c r="AB5" s="24"/>
    </row>
    <row r="6" spans="1:28" s="1" customFormat="1" ht="12.75">
      <c r="A6" s="20" t="s">
        <v>32</v>
      </c>
      <c r="B6" s="21" t="s">
        <v>57</v>
      </c>
      <c r="C6" s="22" t="s">
        <v>34</v>
      </c>
      <c r="D6" s="22" t="s">
        <v>41</v>
      </c>
      <c r="E6" s="23" t="s">
        <v>58</v>
      </c>
      <c r="F6" s="23" t="s">
        <v>52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 t="s">
        <v>55</v>
      </c>
      <c r="V6" s="23"/>
      <c r="W6" s="23" t="s">
        <v>56</v>
      </c>
      <c r="X6" s="23" t="s">
        <v>41</v>
      </c>
      <c r="Y6" s="23" t="s">
        <v>56</v>
      </c>
      <c r="Z6" s="23" t="s">
        <v>43</v>
      </c>
      <c r="AA6" s="23" t="s">
        <v>44</v>
      </c>
      <c r="AB6" s="24"/>
    </row>
    <row r="7" spans="1:28" s="1" customFormat="1" ht="12.75">
      <c r="A7" s="20" t="s">
        <v>32</v>
      </c>
      <c r="B7" s="21" t="s">
        <v>59</v>
      </c>
      <c r="C7" s="22" t="s">
        <v>34</v>
      </c>
      <c r="D7" s="22" t="s">
        <v>41</v>
      </c>
      <c r="E7" s="23" t="s">
        <v>60</v>
      </c>
      <c r="F7" s="23" t="s">
        <v>61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 t="s">
        <v>55</v>
      </c>
      <c r="V7" s="23"/>
      <c r="W7" s="23" t="s">
        <v>56</v>
      </c>
      <c r="X7" s="23" t="s">
        <v>41</v>
      </c>
      <c r="Y7" s="23" t="s">
        <v>56</v>
      </c>
      <c r="Z7" s="23" t="s">
        <v>43</v>
      </c>
      <c r="AA7" s="23" t="s">
        <v>44</v>
      </c>
      <c r="AB7" s="24"/>
    </row>
    <row r="8" spans="1:28" s="1" customFormat="1" ht="12.75">
      <c r="A8" s="20" t="s">
        <v>32</v>
      </c>
      <c r="B8" s="21" t="s">
        <v>62</v>
      </c>
      <c r="C8" s="22" t="s">
        <v>34</v>
      </c>
      <c r="D8" s="22" t="s">
        <v>41</v>
      </c>
      <c r="E8" s="23" t="s">
        <v>63</v>
      </c>
      <c r="F8" s="23" t="s">
        <v>64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 t="s">
        <v>55</v>
      </c>
      <c r="V8" s="23"/>
      <c r="W8" s="23" t="s">
        <v>56</v>
      </c>
      <c r="X8" s="23" t="s">
        <v>41</v>
      </c>
      <c r="Y8" s="23" t="s">
        <v>56</v>
      </c>
      <c r="Z8" s="23" t="s">
        <v>43</v>
      </c>
      <c r="AA8" s="23" t="s">
        <v>44</v>
      </c>
      <c r="AB8" s="24"/>
    </row>
    <row r="9" spans="1:28" s="1" customFormat="1" ht="12.75">
      <c r="A9" s="20" t="s">
        <v>32</v>
      </c>
      <c r="B9" s="21" t="s">
        <v>65</v>
      </c>
      <c r="C9" s="22" t="s">
        <v>34</v>
      </c>
      <c r="D9" s="22" t="s">
        <v>41</v>
      </c>
      <c r="E9" s="23" t="s">
        <v>66</v>
      </c>
      <c r="F9" s="23" t="s">
        <v>67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 t="s">
        <v>55</v>
      </c>
      <c r="V9" s="23"/>
      <c r="W9" s="23" t="s">
        <v>56</v>
      </c>
      <c r="X9" s="23" t="s">
        <v>41</v>
      </c>
      <c r="Y9" s="23" t="s">
        <v>56</v>
      </c>
      <c r="Z9" s="23" t="s">
        <v>43</v>
      </c>
      <c r="AA9" s="23" t="s">
        <v>44</v>
      </c>
      <c r="AB9" s="24"/>
    </row>
    <row r="10" spans="1:28" s="1" customFormat="1" ht="12.75">
      <c r="A10" s="20" t="s">
        <v>32</v>
      </c>
      <c r="B10" s="21" t="s">
        <v>68</v>
      </c>
      <c r="C10" s="22" t="s">
        <v>69</v>
      </c>
      <c r="D10" s="22" t="s">
        <v>35</v>
      </c>
      <c r="E10" s="23" t="s">
        <v>36</v>
      </c>
      <c r="F10" s="23" t="s">
        <v>70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 t="s">
        <v>38</v>
      </c>
      <c r="V10" s="23" t="s">
        <v>39</v>
      </c>
      <c r="W10" s="23" t="s">
        <v>40</v>
      </c>
      <c r="X10" s="23" t="s">
        <v>41</v>
      </c>
      <c r="Y10" s="23" t="s">
        <v>42</v>
      </c>
      <c r="Z10" s="23" t="s">
        <v>43</v>
      </c>
      <c r="AA10" s="23" t="s">
        <v>44</v>
      </c>
      <c r="AB10" s="24"/>
    </row>
    <row r="11" spans="1:28" s="1" customFormat="1" ht="12.75">
      <c r="A11" s="20" t="s">
        <v>32</v>
      </c>
      <c r="B11" s="21" t="s">
        <v>71</v>
      </c>
      <c r="C11" s="22" t="s">
        <v>69</v>
      </c>
      <c r="D11" s="22" t="s">
        <v>35</v>
      </c>
      <c r="E11" s="23" t="s">
        <v>46</v>
      </c>
      <c r="F11" s="23" t="s">
        <v>72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 t="s">
        <v>48</v>
      </c>
      <c r="V11" s="23" t="s">
        <v>39</v>
      </c>
      <c r="W11" s="23" t="s">
        <v>49</v>
      </c>
      <c r="X11" s="23" t="s">
        <v>41</v>
      </c>
      <c r="Y11" s="23" t="s">
        <v>42</v>
      </c>
      <c r="Z11" s="23" t="s">
        <v>43</v>
      </c>
      <c r="AA11" s="23" t="s">
        <v>44</v>
      </c>
      <c r="AB11" s="24"/>
    </row>
    <row r="12" spans="1:28" s="1" customFormat="1" ht="12.75">
      <c r="A12" s="20" t="s">
        <v>32</v>
      </c>
      <c r="B12" s="21" t="s">
        <v>73</v>
      </c>
      <c r="C12" s="22" t="s">
        <v>69</v>
      </c>
      <c r="D12" s="22" t="s">
        <v>35</v>
      </c>
      <c r="E12" s="23" t="s">
        <v>51</v>
      </c>
      <c r="F12" s="23" t="s">
        <v>74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 t="s">
        <v>48</v>
      </c>
      <c r="V12" s="23" t="s">
        <v>39</v>
      </c>
      <c r="W12" s="23" t="s">
        <v>49</v>
      </c>
      <c r="X12" s="23" t="s">
        <v>41</v>
      </c>
      <c r="Y12" s="23" t="s">
        <v>42</v>
      </c>
      <c r="Z12" s="23" t="s">
        <v>43</v>
      </c>
      <c r="AA12" s="23" t="s">
        <v>44</v>
      </c>
      <c r="AB12" s="24"/>
    </row>
    <row r="13" spans="1:28" s="1" customFormat="1" ht="12.75">
      <c r="A13" s="20" t="s">
        <v>32</v>
      </c>
      <c r="B13" s="21" t="s">
        <v>75</v>
      </c>
      <c r="C13" s="22" t="s">
        <v>69</v>
      </c>
      <c r="D13" s="22" t="s">
        <v>41</v>
      </c>
      <c r="E13" s="23" t="s">
        <v>54</v>
      </c>
      <c r="F13" s="23" t="s">
        <v>72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 t="s">
        <v>55</v>
      </c>
      <c r="V13" s="23"/>
      <c r="W13" s="23" t="s">
        <v>56</v>
      </c>
      <c r="X13" s="23" t="s">
        <v>41</v>
      </c>
      <c r="Y13" s="23" t="s">
        <v>56</v>
      </c>
      <c r="Z13" s="23" t="s">
        <v>43</v>
      </c>
      <c r="AA13" s="23" t="s">
        <v>44</v>
      </c>
      <c r="AB13" s="24"/>
    </row>
    <row r="14" spans="1:28" s="1" customFormat="1" ht="12.75">
      <c r="A14" s="20" t="s">
        <v>32</v>
      </c>
      <c r="B14" s="21" t="s">
        <v>76</v>
      </c>
      <c r="C14" s="22" t="s">
        <v>69</v>
      </c>
      <c r="D14" s="22" t="s">
        <v>41</v>
      </c>
      <c r="E14" s="23" t="s">
        <v>58</v>
      </c>
      <c r="F14" s="23" t="s">
        <v>74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 t="s">
        <v>55</v>
      </c>
      <c r="V14" s="23"/>
      <c r="W14" s="23" t="s">
        <v>56</v>
      </c>
      <c r="X14" s="23" t="s">
        <v>41</v>
      </c>
      <c r="Y14" s="23" t="s">
        <v>56</v>
      </c>
      <c r="Z14" s="23" t="s">
        <v>43</v>
      </c>
      <c r="AA14" s="23" t="s">
        <v>44</v>
      </c>
      <c r="AB14" s="24"/>
    </row>
    <row r="15" spans="1:28" s="1" customFormat="1" ht="12.75">
      <c r="A15" s="20" t="s">
        <v>32</v>
      </c>
      <c r="B15" s="21" t="s">
        <v>77</v>
      </c>
      <c r="C15" s="22" t="s">
        <v>69</v>
      </c>
      <c r="D15" s="22" t="s">
        <v>41</v>
      </c>
      <c r="E15" s="23" t="s">
        <v>60</v>
      </c>
      <c r="F15" s="23" t="s">
        <v>78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 t="s">
        <v>55</v>
      </c>
      <c r="V15" s="23"/>
      <c r="W15" s="23" t="s">
        <v>56</v>
      </c>
      <c r="X15" s="23" t="s">
        <v>41</v>
      </c>
      <c r="Y15" s="23" t="s">
        <v>56</v>
      </c>
      <c r="Z15" s="23" t="s">
        <v>43</v>
      </c>
      <c r="AA15" s="23" t="s">
        <v>44</v>
      </c>
      <c r="AB15" s="24"/>
    </row>
    <row r="16" spans="1:28" s="1" customFormat="1" ht="12.75">
      <c r="A16" s="20" t="s">
        <v>32</v>
      </c>
      <c r="B16" s="21" t="s">
        <v>79</v>
      </c>
      <c r="C16" s="22" t="s">
        <v>69</v>
      </c>
      <c r="D16" s="22" t="s">
        <v>41</v>
      </c>
      <c r="E16" s="23" t="s">
        <v>63</v>
      </c>
      <c r="F16" s="23" t="s">
        <v>80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 t="s">
        <v>55</v>
      </c>
      <c r="V16" s="23"/>
      <c r="W16" s="23" t="s">
        <v>56</v>
      </c>
      <c r="X16" s="23" t="s">
        <v>41</v>
      </c>
      <c r="Y16" s="23" t="s">
        <v>56</v>
      </c>
      <c r="Z16" s="23" t="s">
        <v>43</v>
      </c>
      <c r="AA16" s="23" t="s">
        <v>44</v>
      </c>
      <c r="AB16" s="24"/>
    </row>
    <row r="17" spans="1:28" s="1" customFormat="1" ht="12.75">
      <c r="A17" s="20" t="s">
        <v>32</v>
      </c>
      <c r="B17" s="21" t="s">
        <v>81</v>
      </c>
      <c r="C17" s="22" t="s">
        <v>69</v>
      </c>
      <c r="D17" s="22" t="s">
        <v>41</v>
      </c>
      <c r="E17" s="23" t="s">
        <v>66</v>
      </c>
      <c r="F17" s="23" t="s">
        <v>82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 t="s">
        <v>55</v>
      </c>
      <c r="V17" s="23"/>
      <c r="W17" s="23" t="s">
        <v>56</v>
      </c>
      <c r="X17" s="23" t="s">
        <v>41</v>
      </c>
      <c r="Y17" s="23" t="s">
        <v>56</v>
      </c>
      <c r="Z17" s="23" t="s">
        <v>43</v>
      </c>
      <c r="AA17" s="23" t="s">
        <v>44</v>
      </c>
      <c r="AB17" s="24"/>
    </row>
    <row r="18" spans="1:28" s="1" customFormat="1" ht="12.75">
      <c r="A18" s="20" t="s">
        <v>32</v>
      </c>
      <c r="B18" s="21" t="s">
        <v>83</v>
      </c>
      <c r="C18" s="22" t="s">
        <v>84</v>
      </c>
      <c r="D18" s="22" t="s">
        <v>85</v>
      </c>
      <c r="E18" s="23" t="s">
        <v>86</v>
      </c>
      <c r="F18" s="23" t="s">
        <v>87</v>
      </c>
      <c r="G18" s="23" t="s">
        <v>88</v>
      </c>
      <c r="H18" s="23" t="s">
        <v>89</v>
      </c>
      <c r="I18" s="23" t="s">
        <v>90</v>
      </c>
      <c r="J18" s="23" t="s">
        <v>88</v>
      </c>
      <c r="K18" s="23" t="s">
        <v>91</v>
      </c>
      <c r="L18" s="23" t="s">
        <v>92</v>
      </c>
      <c r="M18" s="23"/>
      <c r="N18" s="23"/>
      <c r="O18" s="23"/>
      <c r="P18" s="23"/>
      <c r="Q18" s="23"/>
      <c r="R18" s="23"/>
      <c r="S18" s="23"/>
      <c r="T18" s="23"/>
      <c r="U18" s="23" t="s">
        <v>93</v>
      </c>
      <c r="V18" s="23" t="s">
        <v>39</v>
      </c>
      <c r="W18" s="23" t="s">
        <v>94</v>
      </c>
      <c r="X18" s="23" t="s">
        <v>41</v>
      </c>
      <c r="Y18" s="23" t="s">
        <v>95</v>
      </c>
      <c r="Z18" s="23" t="s">
        <v>43</v>
      </c>
      <c r="AA18" s="23" t="s">
        <v>44</v>
      </c>
      <c r="AB18" s="24"/>
    </row>
    <row r="19" spans="1:28" s="1" customFormat="1" ht="12.75">
      <c r="A19" s="20" t="s">
        <v>32</v>
      </c>
      <c r="B19" s="21" t="s">
        <v>96</v>
      </c>
      <c r="C19" s="22" t="s">
        <v>84</v>
      </c>
      <c r="D19" s="22" t="s">
        <v>41</v>
      </c>
      <c r="E19" s="23" t="s">
        <v>97</v>
      </c>
      <c r="F19" s="23" t="s">
        <v>98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 t="s">
        <v>55</v>
      </c>
      <c r="V19" s="23"/>
      <c r="W19" s="23" t="s">
        <v>56</v>
      </c>
      <c r="X19" s="23" t="s">
        <v>41</v>
      </c>
      <c r="Y19" s="23" t="s">
        <v>56</v>
      </c>
      <c r="Z19" s="23" t="s">
        <v>43</v>
      </c>
      <c r="AA19" s="23" t="s">
        <v>44</v>
      </c>
      <c r="AB19" s="24"/>
    </row>
    <row r="20" spans="1:28" s="1" customFormat="1" ht="12.75">
      <c r="A20" s="20" t="s">
        <v>32</v>
      </c>
      <c r="B20" s="21" t="s">
        <v>99</v>
      </c>
      <c r="C20" s="22" t="s">
        <v>100</v>
      </c>
      <c r="D20" s="22" t="s">
        <v>85</v>
      </c>
      <c r="E20" s="23" t="s">
        <v>86</v>
      </c>
      <c r="F20" s="23" t="s">
        <v>101</v>
      </c>
      <c r="G20" s="23" t="s">
        <v>88</v>
      </c>
      <c r="H20" s="23" t="s">
        <v>89</v>
      </c>
      <c r="I20" s="23" t="s">
        <v>90</v>
      </c>
      <c r="J20" s="23" t="s">
        <v>88</v>
      </c>
      <c r="K20" s="23" t="s">
        <v>102</v>
      </c>
      <c r="L20" s="23" t="s">
        <v>92</v>
      </c>
      <c r="M20" s="23"/>
      <c r="N20" s="23"/>
      <c r="O20" s="23"/>
      <c r="P20" s="23"/>
      <c r="Q20" s="23"/>
      <c r="R20" s="23"/>
      <c r="S20" s="23"/>
      <c r="T20" s="23"/>
      <c r="U20" s="23" t="s">
        <v>93</v>
      </c>
      <c r="V20" s="23" t="s">
        <v>39</v>
      </c>
      <c r="W20" s="23" t="s">
        <v>94</v>
      </c>
      <c r="X20" s="23" t="s">
        <v>41</v>
      </c>
      <c r="Y20" s="23" t="s">
        <v>95</v>
      </c>
      <c r="Z20" s="23" t="s">
        <v>43</v>
      </c>
      <c r="AA20" s="23" t="s">
        <v>44</v>
      </c>
      <c r="AB20" s="24"/>
    </row>
    <row r="21" spans="1:28" s="1" customFormat="1" ht="12.75">
      <c r="A21" s="20" t="s">
        <v>32</v>
      </c>
      <c r="B21" s="21" t="s">
        <v>103</v>
      </c>
      <c r="C21" s="22" t="s">
        <v>100</v>
      </c>
      <c r="D21" s="22" t="s">
        <v>41</v>
      </c>
      <c r="E21" s="23" t="s">
        <v>104</v>
      </c>
      <c r="F21" s="23" t="s">
        <v>105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 t="s">
        <v>55</v>
      </c>
      <c r="V21" s="23"/>
      <c r="W21" s="23" t="s">
        <v>56</v>
      </c>
      <c r="X21" s="23" t="s">
        <v>41</v>
      </c>
      <c r="Y21" s="23" t="s">
        <v>56</v>
      </c>
      <c r="Z21" s="23" t="s">
        <v>43</v>
      </c>
      <c r="AA21" s="23" t="s">
        <v>44</v>
      </c>
      <c r="AB21" s="24"/>
    </row>
    <row r="22" spans="1:28" s="1" customFormat="1" ht="12.75">
      <c r="A22" s="20" t="s">
        <v>32</v>
      </c>
      <c r="B22" s="21" t="s">
        <v>106</v>
      </c>
      <c r="C22" s="22" t="s">
        <v>100</v>
      </c>
      <c r="D22" s="22" t="s">
        <v>35</v>
      </c>
      <c r="E22" s="23" t="s">
        <v>107</v>
      </c>
      <c r="F22" s="23" t="s">
        <v>101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 t="s">
        <v>108</v>
      </c>
      <c r="V22" s="23" t="s">
        <v>39</v>
      </c>
      <c r="W22" s="23" t="s">
        <v>94</v>
      </c>
      <c r="X22" s="23" t="s">
        <v>41</v>
      </c>
      <c r="Y22" s="23" t="s">
        <v>95</v>
      </c>
      <c r="Z22" s="23" t="s">
        <v>43</v>
      </c>
      <c r="AA22" s="23" t="s">
        <v>44</v>
      </c>
      <c r="AB22" s="24"/>
    </row>
    <row r="23" spans="1:28" s="1" customFormat="1" ht="12.75">
      <c r="A23" s="25" t="s">
        <v>32</v>
      </c>
      <c r="B23" s="26" t="s">
        <v>109</v>
      </c>
      <c r="C23" s="27" t="s">
        <v>100</v>
      </c>
      <c r="D23" s="27" t="s">
        <v>41</v>
      </c>
      <c r="E23" s="28" t="s">
        <v>110</v>
      </c>
      <c r="F23" s="28" t="s">
        <v>111</v>
      </c>
      <c r="G23" s="28"/>
      <c r="H23" s="28"/>
      <c r="I23" s="28"/>
      <c r="J23" s="28"/>
      <c r="K23" s="28"/>
      <c r="L23" s="28"/>
      <c r="M23" s="28"/>
      <c r="N23" s="28"/>
      <c r="O23" s="28"/>
      <c r="P23" s="28" t="s">
        <v>112</v>
      </c>
      <c r="Q23" s="28"/>
      <c r="R23" s="28"/>
      <c r="S23" s="28" t="s">
        <v>92</v>
      </c>
      <c r="T23" s="28"/>
      <c r="U23" s="28" t="s">
        <v>55</v>
      </c>
      <c r="V23" s="28"/>
      <c r="W23" s="28" t="s">
        <v>56</v>
      </c>
      <c r="X23" s="28" t="s">
        <v>41</v>
      </c>
      <c r="Y23" s="28" t="s">
        <v>56</v>
      </c>
      <c r="Z23" s="28" t="s">
        <v>43</v>
      </c>
      <c r="AA23" s="23" t="s">
        <v>44</v>
      </c>
      <c r="AB23" s="24"/>
    </row>
    <row r="24" spans="1:28" s="1" customFormat="1" ht="12.75">
      <c r="A24" s="20" t="s">
        <v>32</v>
      </c>
      <c r="B24" s="21" t="s">
        <v>113</v>
      </c>
      <c r="C24" s="22" t="s">
        <v>114</v>
      </c>
      <c r="D24" s="22" t="s">
        <v>115</v>
      </c>
      <c r="E24" s="23" t="s">
        <v>116</v>
      </c>
      <c r="F24" s="23" t="s">
        <v>117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 t="s">
        <v>48</v>
      </c>
      <c r="V24" s="23" t="s">
        <v>39</v>
      </c>
      <c r="W24" s="23" t="s">
        <v>49</v>
      </c>
      <c r="X24" s="23" t="s">
        <v>41</v>
      </c>
      <c r="Y24" s="23" t="s">
        <v>42</v>
      </c>
      <c r="Z24" s="23" t="s">
        <v>43</v>
      </c>
      <c r="AA24" s="23" t="s">
        <v>44</v>
      </c>
      <c r="AB24" s="24"/>
    </row>
    <row r="25" spans="1:28" s="1" customFormat="1" ht="12.75">
      <c r="A25" s="20" t="s">
        <v>32</v>
      </c>
      <c r="B25" s="21" t="s">
        <v>118</v>
      </c>
      <c r="C25" s="22" t="s">
        <v>119</v>
      </c>
      <c r="D25" s="22" t="s">
        <v>115</v>
      </c>
      <c r="E25" s="23" t="s">
        <v>116</v>
      </c>
      <c r="F25" s="23" t="s">
        <v>120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 t="s">
        <v>48</v>
      </c>
      <c r="V25" s="23" t="s">
        <v>39</v>
      </c>
      <c r="W25" s="23" t="s">
        <v>49</v>
      </c>
      <c r="X25" s="23" t="s">
        <v>41</v>
      </c>
      <c r="Y25" s="23" t="s">
        <v>42</v>
      </c>
      <c r="Z25" s="23" t="s">
        <v>43</v>
      </c>
      <c r="AA25" s="23" t="s">
        <v>44</v>
      </c>
      <c r="AB25" s="24"/>
    </row>
    <row r="26" spans="1:28" s="1" customFormat="1" ht="12.75">
      <c r="A26" s="20" t="s">
        <v>32</v>
      </c>
      <c r="B26" s="21" t="s">
        <v>121</v>
      </c>
      <c r="C26" s="22" t="s">
        <v>122</v>
      </c>
      <c r="D26" s="22" t="s">
        <v>85</v>
      </c>
      <c r="E26" s="23" t="s">
        <v>123</v>
      </c>
      <c r="F26" s="23" t="s">
        <v>124</v>
      </c>
      <c r="G26" s="23" t="s">
        <v>125</v>
      </c>
      <c r="H26" s="23" t="s">
        <v>126</v>
      </c>
      <c r="I26" s="23" t="s">
        <v>127</v>
      </c>
      <c r="J26" s="23" t="s">
        <v>88</v>
      </c>
      <c r="K26" s="23" t="s">
        <v>89</v>
      </c>
      <c r="L26" s="23" t="s">
        <v>128</v>
      </c>
      <c r="M26" s="23"/>
      <c r="N26" s="23"/>
      <c r="O26" s="23"/>
      <c r="P26" s="23"/>
      <c r="Q26" s="23"/>
      <c r="R26" s="23"/>
      <c r="S26" s="23"/>
      <c r="T26" s="23" t="s">
        <v>129</v>
      </c>
      <c r="U26" s="23" t="s">
        <v>93</v>
      </c>
      <c r="V26" s="23" t="s">
        <v>39</v>
      </c>
      <c r="W26" s="23" t="s">
        <v>94</v>
      </c>
      <c r="X26" s="23" t="s">
        <v>41</v>
      </c>
      <c r="Y26" s="23" t="s">
        <v>95</v>
      </c>
      <c r="Z26" s="23" t="s">
        <v>43</v>
      </c>
      <c r="AA26" s="23" t="s">
        <v>44</v>
      </c>
      <c r="AB26" s="24"/>
    </row>
    <row r="27" spans="1:28" s="1" customFormat="1" ht="12.75">
      <c r="A27" s="20" t="s">
        <v>32</v>
      </c>
      <c r="B27" s="21" t="s">
        <v>130</v>
      </c>
      <c r="C27" s="22" t="s">
        <v>122</v>
      </c>
      <c r="D27" s="22" t="s">
        <v>115</v>
      </c>
      <c r="E27" s="23" t="s">
        <v>131</v>
      </c>
      <c r="F27" s="23" t="s">
        <v>132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 t="s">
        <v>38</v>
      </c>
      <c r="V27" s="23" t="s">
        <v>39</v>
      </c>
      <c r="W27" s="23" t="s">
        <v>40</v>
      </c>
      <c r="X27" s="23" t="s">
        <v>41</v>
      </c>
      <c r="Y27" s="23" t="s">
        <v>42</v>
      </c>
      <c r="Z27" s="23" t="s">
        <v>43</v>
      </c>
      <c r="AA27" s="23" t="s">
        <v>44</v>
      </c>
      <c r="AB27" s="24"/>
    </row>
    <row r="28" spans="1:28" s="1" customFormat="1" ht="12.75">
      <c r="A28" s="20" t="s">
        <v>32</v>
      </c>
      <c r="B28" s="21" t="s">
        <v>133</v>
      </c>
      <c r="C28" s="22" t="s">
        <v>122</v>
      </c>
      <c r="D28" s="22" t="s">
        <v>41</v>
      </c>
      <c r="E28" s="23" t="s">
        <v>134</v>
      </c>
      <c r="F28" s="23" t="s">
        <v>124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 t="s">
        <v>55</v>
      </c>
      <c r="V28" s="23"/>
      <c r="W28" s="23" t="s">
        <v>56</v>
      </c>
      <c r="X28" s="23" t="s">
        <v>41</v>
      </c>
      <c r="Y28" s="23" t="s">
        <v>56</v>
      </c>
      <c r="Z28" s="23" t="s">
        <v>43</v>
      </c>
      <c r="AA28" s="23" t="s">
        <v>44</v>
      </c>
      <c r="AB28" s="24"/>
    </row>
    <row r="29" spans="1:28" s="1" customFormat="1" ht="12.75">
      <c r="A29" s="20" t="s">
        <v>32</v>
      </c>
      <c r="B29" s="21" t="s">
        <v>135</v>
      </c>
      <c r="C29" s="22" t="s">
        <v>122</v>
      </c>
      <c r="D29" s="22" t="s">
        <v>115</v>
      </c>
      <c r="E29" s="23" t="s">
        <v>136</v>
      </c>
      <c r="F29" s="23" t="s">
        <v>137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 t="s">
        <v>138</v>
      </c>
      <c r="V29" s="23" t="s">
        <v>39</v>
      </c>
      <c r="W29" s="23" t="s">
        <v>94</v>
      </c>
      <c r="X29" s="23" t="s">
        <v>41</v>
      </c>
      <c r="Y29" s="23" t="s">
        <v>42</v>
      </c>
      <c r="Z29" s="23" t="s">
        <v>43</v>
      </c>
      <c r="AA29" s="23" t="s">
        <v>44</v>
      </c>
      <c r="AB29" s="24"/>
    </row>
    <row r="30" spans="1:28" s="1" customFormat="1" ht="12.75">
      <c r="A30" s="20" t="s">
        <v>32</v>
      </c>
      <c r="B30" s="21" t="s">
        <v>139</v>
      </c>
      <c r="C30" s="22" t="s">
        <v>122</v>
      </c>
      <c r="D30" s="22" t="s">
        <v>41</v>
      </c>
      <c r="E30" s="23" t="s">
        <v>140</v>
      </c>
      <c r="F30" s="23" t="s">
        <v>141</v>
      </c>
      <c r="G30" s="23"/>
      <c r="H30" s="23"/>
      <c r="I30" s="23"/>
      <c r="J30" s="23"/>
      <c r="K30" s="23"/>
      <c r="L30" s="23"/>
      <c r="M30" s="23" t="s">
        <v>142</v>
      </c>
      <c r="N30" s="23"/>
      <c r="O30" s="23"/>
      <c r="P30" s="23"/>
      <c r="Q30" s="23"/>
      <c r="R30" s="23"/>
      <c r="S30" s="23" t="s">
        <v>128</v>
      </c>
      <c r="T30" s="23"/>
      <c r="U30" s="23" t="s">
        <v>55</v>
      </c>
      <c r="V30" s="23"/>
      <c r="W30" s="23" t="s">
        <v>56</v>
      </c>
      <c r="X30" s="23" t="s">
        <v>41</v>
      </c>
      <c r="Y30" s="23" t="s">
        <v>56</v>
      </c>
      <c r="Z30" s="23" t="s">
        <v>43</v>
      </c>
      <c r="AA30" s="23" t="s">
        <v>44</v>
      </c>
      <c r="AB30" s="24"/>
    </row>
    <row r="31" spans="1:28" s="1" customFormat="1" ht="12.75">
      <c r="A31" s="20" t="s">
        <v>32</v>
      </c>
      <c r="B31" s="21" t="s">
        <v>143</v>
      </c>
      <c r="C31" s="22" t="s">
        <v>122</v>
      </c>
      <c r="D31" s="22" t="s">
        <v>41</v>
      </c>
      <c r="E31" s="23" t="s">
        <v>144</v>
      </c>
      <c r="F31" s="23" t="s">
        <v>145</v>
      </c>
      <c r="G31" s="23"/>
      <c r="H31" s="23"/>
      <c r="I31" s="23"/>
      <c r="J31" s="23"/>
      <c r="K31" s="23"/>
      <c r="L31" s="23"/>
      <c r="M31" s="23"/>
      <c r="N31" s="23"/>
      <c r="O31" s="23"/>
      <c r="P31" s="23" t="s">
        <v>112</v>
      </c>
      <c r="Q31" s="23"/>
      <c r="R31" s="23"/>
      <c r="S31" s="23" t="s">
        <v>128</v>
      </c>
      <c r="T31" s="23"/>
      <c r="U31" s="23" t="s">
        <v>55</v>
      </c>
      <c r="V31" s="23"/>
      <c r="W31" s="23" t="s">
        <v>56</v>
      </c>
      <c r="X31" s="23" t="s">
        <v>41</v>
      </c>
      <c r="Y31" s="23" t="s">
        <v>56</v>
      </c>
      <c r="Z31" s="23" t="s">
        <v>43</v>
      </c>
      <c r="AA31" s="23" t="s">
        <v>44</v>
      </c>
      <c r="AB31" s="24"/>
    </row>
    <row r="32" spans="1:28" s="1" customFormat="1" ht="12.75">
      <c r="A32" s="20" t="s">
        <v>32</v>
      </c>
      <c r="B32" s="21" t="s">
        <v>146</v>
      </c>
      <c r="C32" s="22" t="s">
        <v>147</v>
      </c>
      <c r="D32" s="22" t="s">
        <v>85</v>
      </c>
      <c r="E32" s="23" t="s">
        <v>123</v>
      </c>
      <c r="F32" s="23" t="s">
        <v>148</v>
      </c>
      <c r="G32" s="23" t="s">
        <v>125</v>
      </c>
      <c r="H32" s="23" t="s">
        <v>149</v>
      </c>
      <c r="I32" s="23" t="s">
        <v>127</v>
      </c>
      <c r="J32" s="23" t="s">
        <v>88</v>
      </c>
      <c r="K32" s="23" t="s">
        <v>89</v>
      </c>
      <c r="L32" s="23" t="s">
        <v>128</v>
      </c>
      <c r="M32" s="23"/>
      <c r="N32" s="23"/>
      <c r="O32" s="23"/>
      <c r="P32" s="23"/>
      <c r="Q32" s="23"/>
      <c r="R32" s="23"/>
      <c r="S32" s="23"/>
      <c r="T32" s="23" t="s">
        <v>129</v>
      </c>
      <c r="U32" s="23" t="s">
        <v>93</v>
      </c>
      <c r="V32" s="23" t="s">
        <v>39</v>
      </c>
      <c r="W32" s="23" t="s">
        <v>94</v>
      </c>
      <c r="X32" s="23" t="s">
        <v>41</v>
      </c>
      <c r="Y32" s="23" t="s">
        <v>95</v>
      </c>
      <c r="Z32" s="23" t="s">
        <v>43</v>
      </c>
      <c r="AA32" s="23" t="s">
        <v>44</v>
      </c>
      <c r="AB32" s="24"/>
    </row>
    <row r="33" spans="1:28" s="1" customFormat="1" ht="12.75">
      <c r="A33" s="20" t="s">
        <v>32</v>
      </c>
      <c r="B33" s="21" t="s">
        <v>150</v>
      </c>
      <c r="C33" s="22" t="s">
        <v>147</v>
      </c>
      <c r="D33" s="22" t="s">
        <v>41</v>
      </c>
      <c r="E33" s="23" t="s">
        <v>151</v>
      </c>
      <c r="F33" s="23" t="s">
        <v>152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 t="s">
        <v>55</v>
      </c>
      <c r="V33" s="23"/>
      <c r="W33" s="23" t="s">
        <v>56</v>
      </c>
      <c r="X33" s="23" t="s">
        <v>41</v>
      </c>
      <c r="Y33" s="23" t="s">
        <v>56</v>
      </c>
      <c r="Z33" s="23" t="s">
        <v>43</v>
      </c>
      <c r="AA33" s="23" t="s">
        <v>44</v>
      </c>
      <c r="AB33" s="24"/>
    </row>
    <row r="34" spans="1:28" s="1" customFormat="1" ht="12.75">
      <c r="A34" s="20" t="s">
        <v>32</v>
      </c>
      <c r="B34" s="21" t="s">
        <v>153</v>
      </c>
      <c r="C34" s="22" t="s">
        <v>147</v>
      </c>
      <c r="D34" s="22" t="s">
        <v>41</v>
      </c>
      <c r="E34" s="23" t="s">
        <v>140</v>
      </c>
      <c r="F34" s="23" t="s">
        <v>154</v>
      </c>
      <c r="G34" s="23"/>
      <c r="H34" s="23"/>
      <c r="I34" s="23"/>
      <c r="J34" s="23"/>
      <c r="K34" s="23"/>
      <c r="L34" s="23"/>
      <c r="M34" s="23" t="s">
        <v>155</v>
      </c>
      <c r="N34" s="23"/>
      <c r="O34" s="23"/>
      <c r="P34" s="23"/>
      <c r="Q34" s="23"/>
      <c r="R34" s="23"/>
      <c r="S34" s="23" t="s">
        <v>128</v>
      </c>
      <c r="T34" s="23"/>
      <c r="U34" s="23" t="s">
        <v>55</v>
      </c>
      <c r="V34" s="23"/>
      <c r="W34" s="23" t="s">
        <v>56</v>
      </c>
      <c r="X34" s="23" t="s">
        <v>41</v>
      </c>
      <c r="Y34" s="23" t="s">
        <v>56</v>
      </c>
      <c r="Z34" s="23" t="s">
        <v>43</v>
      </c>
      <c r="AA34" s="23" t="s">
        <v>44</v>
      </c>
      <c r="AB34" s="24"/>
    </row>
    <row r="35" spans="1:28" s="1" customFormat="1" ht="12.75">
      <c r="A35" s="20" t="s">
        <v>32</v>
      </c>
      <c r="B35" s="21" t="s">
        <v>156</v>
      </c>
      <c r="C35" s="22" t="s">
        <v>147</v>
      </c>
      <c r="D35" s="22" t="s">
        <v>41</v>
      </c>
      <c r="E35" s="23" t="s">
        <v>144</v>
      </c>
      <c r="F35" s="23" t="s">
        <v>157</v>
      </c>
      <c r="G35" s="23"/>
      <c r="H35" s="23"/>
      <c r="I35" s="23"/>
      <c r="J35" s="23"/>
      <c r="K35" s="23"/>
      <c r="L35" s="23"/>
      <c r="M35" s="23"/>
      <c r="N35" s="23"/>
      <c r="O35" s="23"/>
      <c r="P35" s="23" t="s">
        <v>158</v>
      </c>
      <c r="Q35" s="23"/>
      <c r="R35" s="23"/>
      <c r="S35" s="23" t="s">
        <v>128</v>
      </c>
      <c r="T35" s="23"/>
      <c r="U35" s="23" t="s">
        <v>55</v>
      </c>
      <c r="V35" s="23"/>
      <c r="W35" s="23" t="s">
        <v>56</v>
      </c>
      <c r="X35" s="23" t="s">
        <v>41</v>
      </c>
      <c r="Y35" s="23" t="s">
        <v>56</v>
      </c>
      <c r="Z35" s="23" t="s">
        <v>43</v>
      </c>
      <c r="AA35" s="23" t="s">
        <v>44</v>
      </c>
      <c r="AB35" s="24"/>
    </row>
    <row r="36" spans="1:28" s="1" customFormat="1" ht="12.75">
      <c r="A36" s="20" t="s">
        <v>32</v>
      </c>
      <c r="B36" s="21" t="s">
        <v>159</v>
      </c>
      <c r="C36" s="22" t="s">
        <v>160</v>
      </c>
      <c r="D36" s="22" t="s">
        <v>85</v>
      </c>
      <c r="E36" s="23" t="s">
        <v>123</v>
      </c>
      <c r="F36" s="23" t="s">
        <v>161</v>
      </c>
      <c r="G36" s="23" t="s">
        <v>125</v>
      </c>
      <c r="H36" s="23" t="s">
        <v>149</v>
      </c>
      <c r="I36" s="23" t="s">
        <v>127</v>
      </c>
      <c r="J36" s="23" t="s">
        <v>88</v>
      </c>
      <c r="K36" s="23" t="s">
        <v>89</v>
      </c>
      <c r="L36" s="23" t="s">
        <v>128</v>
      </c>
      <c r="M36" s="23"/>
      <c r="N36" s="23"/>
      <c r="O36" s="23"/>
      <c r="P36" s="23"/>
      <c r="Q36" s="23"/>
      <c r="R36" s="23"/>
      <c r="S36" s="23"/>
      <c r="T36" s="23" t="s">
        <v>162</v>
      </c>
      <c r="U36" s="23" t="s">
        <v>93</v>
      </c>
      <c r="V36" s="23" t="s">
        <v>39</v>
      </c>
      <c r="W36" s="23" t="s">
        <v>94</v>
      </c>
      <c r="X36" s="23" t="s">
        <v>41</v>
      </c>
      <c r="Y36" s="23" t="s">
        <v>95</v>
      </c>
      <c r="Z36" s="23" t="s">
        <v>43</v>
      </c>
      <c r="AA36" s="23" t="s">
        <v>44</v>
      </c>
      <c r="AB36" s="24"/>
    </row>
    <row r="37" spans="1:28" s="1" customFormat="1" ht="12.75">
      <c r="A37" s="20" t="s">
        <v>32</v>
      </c>
      <c r="B37" s="21" t="s">
        <v>163</v>
      </c>
      <c r="C37" s="22" t="s">
        <v>160</v>
      </c>
      <c r="D37" s="22" t="s">
        <v>41</v>
      </c>
      <c r="E37" s="23" t="s">
        <v>151</v>
      </c>
      <c r="F37" s="23" t="s">
        <v>164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55</v>
      </c>
      <c r="V37" s="23"/>
      <c r="W37" s="23" t="s">
        <v>56</v>
      </c>
      <c r="X37" s="23" t="s">
        <v>41</v>
      </c>
      <c r="Y37" s="23" t="s">
        <v>56</v>
      </c>
      <c r="Z37" s="23" t="s">
        <v>43</v>
      </c>
      <c r="AA37" s="23" t="s">
        <v>44</v>
      </c>
      <c r="AB37" s="24"/>
    </row>
    <row r="38" spans="1:28" s="1" customFormat="1" ht="12.75">
      <c r="A38" s="20" t="s">
        <v>32</v>
      </c>
      <c r="B38" s="21" t="s">
        <v>165</v>
      </c>
      <c r="C38" s="22" t="s">
        <v>160</v>
      </c>
      <c r="D38" s="22" t="s">
        <v>41</v>
      </c>
      <c r="E38" s="23" t="s">
        <v>140</v>
      </c>
      <c r="F38" s="23" t="s">
        <v>166</v>
      </c>
      <c r="G38" s="23"/>
      <c r="H38" s="23"/>
      <c r="I38" s="23"/>
      <c r="J38" s="23"/>
      <c r="K38" s="23"/>
      <c r="L38" s="23"/>
      <c r="M38" s="23" t="s">
        <v>155</v>
      </c>
      <c r="N38" s="23"/>
      <c r="O38" s="23"/>
      <c r="P38" s="23"/>
      <c r="Q38" s="23"/>
      <c r="R38" s="23"/>
      <c r="S38" s="23" t="s">
        <v>128</v>
      </c>
      <c r="T38" s="23"/>
      <c r="U38" s="23" t="s">
        <v>55</v>
      </c>
      <c r="V38" s="23"/>
      <c r="W38" s="23" t="s">
        <v>56</v>
      </c>
      <c r="X38" s="23" t="s">
        <v>41</v>
      </c>
      <c r="Y38" s="23" t="s">
        <v>56</v>
      </c>
      <c r="Z38" s="23" t="s">
        <v>43</v>
      </c>
      <c r="AA38" s="23" t="s">
        <v>44</v>
      </c>
      <c r="AB38" s="24"/>
    </row>
    <row r="39" spans="1:28" s="1" customFormat="1" ht="12.75">
      <c r="A39" s="20" t="s">
        <v>32</v>
      </c>
      <c r="B39" s="21" t="s">
        <v>167</v>
      </c>
      <c r="C39" s="22" t="s">
        <v>160</v>
      </c>
      <c r="D39" s="22" t="s">
        <v>41</v>
      </c>
      <c r="E39" s="23" t="s">
        <v>144</v>
      </c>
      <c r="F39" s="23" t="s">
        <v>168</v>
      </c>
      <c r="G39" s="23"/>
      <c r="H39" s="23"/>
      <c r="I39" s="23"/>
      <c r="J39" s="23"/>
      <c r="K39" s="23"/>
      <c r="L39" s="23"/>
      <c r="M39" s="23"/>
      <c r="N39" s="23"/>
      <c r="O39" s="23"/>
      <c r="P39" s="23" t="s">
        <v>158</v>
      </c>
      <c r="Q39" s="23"/>
      <c r="R39" s="23"/>
      <c r="S39" s="23" t="s">
        <v>128</v>
      </c>
      <c r="T39" s="23"/>
      <c r="U39" s="23" t="s">
        <v>55</v>
      </c>
      <c r="V39" s="23"/>
      <c r="W39" s="23" t="s">
        <v>56</v>
      </c>
      <c r="X39" s="23" t="s">
        <v>41</v>
      </c>
      <c r="Y39" s="23" t="s">
        <v>56</v>
      </c>
      <c r="Z39" s="23" t="s">
        <v>43</v>
      </c>
      <c r="AA39" s="23" t="s">
        <v>44</v>
      </c>
      <c r="AB39" s="24"/>
    </row>
    <row r="40" spans="1:28" s="1" customFormat="1" ht="12.75">
      <c r="A40" s="20" t="s">
        <v>32</v>
      </c>
      <c r="B40" s="21" t="s">
        <v>169</v>
      </c>
      <c r="C40" s="22" t="s">
        <v>170</v>
      </c>
      <c r="D40" s="22" t="s">
        <v>171</v>
      </c>
      <c r="E40" s="23" t="s">
        <v>172</v>
      </c>
      <c r="F40" s="23" t="s">
        <v>173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38</v>
      </c>
      <c r="V40" s="23" t="s">
        <v>39</v>
      </c>
      <c r="W40" s="23" t="s">
        <v>40</v>
      </c>
      <c r="X40" s="23" t="s">
        <v>41</v>
      </c>
      <c r="Y40" s="23" t="s">
        <v>42</v>
      </c>
      <c r="Z40" s="23" t="s">
        <v>43</v>
      </c>
      <c r="AA40" s="23" t="s">
        <v>44</v>
      </c>
      <c r="AB40" s="24"/>
    </row>
    <row r="41" spans="1:28" s="1" customFormat="1" ht="12.75">
      <c r="A41" s="20" t="s">
        <v>32</v>
      </c>
      <c r="B41" s="21" t="s">
        <v>174</v>
      </c>
      <c r="C41" s="22" t="s">
        <v>170</v>
      </c>
      <c r="D41" s="22" t="s">
        <v>171</v>
      </c>
      <c r="E41" s="23" t="s">
        <v>175</v>
      </c>
      <c r="F41" s="23" t="s">
        <v>176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 t="s">
        <v>38</v>
      </c>
      <c r="V41" s="23" t="s">
        <v>39</v>
      </c>
      <c r="W41" s="23" t="s">
        <v>40</v>
      </c>
      <c r="X41" s="23" t="s">
        <v>41</v>
      </c>
      <c r="Y41" s="23" t="s">
        <v>42</v>
      </c>
      <c r="Z41" s="23" t="s">
        <v>43</v>
      </c>
      <c r="AA41" s="23" t="s">
        <v>44</v>
      </c>
      <c r="AB41" s="24"/>
    </row>
    <row r="42" spans="1:28" s="1" customFormat="1" ht="12.75">
      <c r="A42" s="20" t="s">
        <v>32</v>
      </c>
      <c r="B42" s="21" t="s">
        <v>177</v>
      </c>
      <c r="C42" s="22" t="s">
        <v>170</v>
      </c>
      <c r="D42" s="22" t="s">
        <v>171</v>
      </c>
      <c r="E42" s="23" t="s">
        <v>66</v>
      </c>
      <c r="F42" s="23" t="s">
        <v>178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 t="s">
        <v>179</v>
      </c>
      <c r="V42" s="23"/>
      <c r="W42" s="23" t="s">
        <v>180</v>
      </c>
      <c r="X42" s="23" t="s">
        <v>41</v>
      </c>
      <c r="Y42" s="23" t="s">
        <v>181</v>
      </c>
      <c r="Z42" s="23" t="s">
        <v>43</v>
      </c>
      <c r="AA42" s="23" t="s">
        <v>44</v>
      </c>
      <c r="AB42" s="24"/>
    </row>
    <row r="43" spans="1:28" s="1" customFormat="1" ht="12.75">
      <c r="A43" s="20" t="s">
        <v>32</v>
      </c>
      <c r="B43" s="21" t="s">
        <v>182</v>
      </c>
      <c r="C43" s="22" t="s">
        <v>170</v>
      </c>
      <c r="D43" s="22" t="s">
        <v>171</v>
      </c>
      <c r="E43" s="23" t="s">
        <v>66</v>
      </c>
      <c r="F43" s="23" t="s">
        <v>183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 t="s">
        <v>179</v>
      </c>
      <c r="V43" s="23"/>
      <c r="W43" s="23" t="s">
        <v>180</v>
      </c>
      <c r="X43" s="23" t="s">
        <v>41</v>
      </c>
      <c r="Y43" s="23" t="s">
        <v>181</v>
      </c>
      <c r="Z43" s="23" t="s">
        <v>43</v>
      </c>
      <c r="AA43" s="23" t="s">
        <v>44</v>
      </c>
      <c r="AB43" s="24"/>
    </row>
    <row r="44" spans="1:28" s="1" customFormat="1" ht="12.75">
      <c r="A44" s="20" t="s">
        <v>32</v>
      </c>
      <c r="B44" s="21" t="s">
        <v>184</v>
      </c>
      <c r="C44" s="22" t="s">
        <v>170</v>
      </c>
      <c r="D44" s="22" t="s">
        <v>171</v>
      </c>
      <c r="E44" s="23" t="s">
        <v>185</v>
      </c>
      <c r="F44" s="23" t="s">
        <v>186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 t="s">
        <v>179</v>
      </c>
      <c r="V44" s="23"/>
      <c r="W44" s="23" t="s">
        <v>180</v>
      </c>
      <c r="X44" s="23" t="s">
        <v>41</v>
      </c>
      <c r="Y44" s="23" t="s">
        <v>181</v>
      </c>
      <c r="Z44" s="23" t="s">
        <v>43</v>
      </c>
      <c r="AA44" s="23" t="s">
        <v>44</v>
      </c>
      <c r="AB44" s="24"/>
    </row>
    <row r="45" spans="1:28" s="1" customFormat="1" ht="12.75">
      <c r="A45" s="20" t="s">
        <v>32</v>
      </c>
      <c r="B45" s="21" t="s">
        <v>187</v>
      </c>
      <c r="C45" s="22" t="s">
        <v>188</v>
      </c>
      <c r="D45" s="22" t="s">
        <v>171</v>
      </c>
      <c r="E45" s="23" t="s">
        <v>172</v>
      </c>
      <c r="F45" s="23" t="s">
        <v>189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 t="s">
        <v>38</v>
      </c>
      <c r="V45" s="23" t="s">
        <v>39</v>
      </c>
      <c r="W45" s="23" t="s">
        <v>40</v>
      </c>
      <c r="X45" s="23" t="s">
        <v>41</v>
      </c>
      <c r="Y45" s="23" t="s">
        <v>42</v>
      </c>
      <c r="Z45" s="23" t="s">
        <v>43</v>
      </c>
      <c r="AA45" s="23" t="s">
        <v>44</v>
      </c>
      <c r="AB45" s="24"/>
    </row>
    <row r="46" spans="1:28" s="1" customFormat="1" ht="12.75">
      <c r="A46" s="20" t="s">
        <v>32</v>
      </c>
      <c r="B46" s="21" t="s">
        <v>190</v>
      </c>
      <c r="C46" s="22" t="s">
        <v>188</v>
      </c>
      <c r="D46" s="22" t="s">
        <v>171</v>
      </c>
      <c r="E46" s="23" t="s">
        <v>175</v>
      </c>
      <c r="F46" s="23" t="s">
        <v>191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 t="s">
        <v>38</v>
      </c>
      <c r="V46" s="23" t="s">
        <v>39</v>
      </c>
      <c r="W46" s="23" t="s">
        <v>40</v>
      </c>
      <c r="X46" s="23" t="s">
        <v>41</v>
      </c>
      <c r="Y46" s="23" t="s">
        <v>42</v>
      </c>
      <c r="Z46" s="23" t="s">
        <v>43</v>
      </c>
      <c r="AA46" s="23" t="s">
        <v>44</v>
      </c>
      <c r="AB46" s="24"/>
    </row>
    <row r="47" spans="1:28" s="1" customFormat="1" ht="12.75">
      <c r="A47" s="20" t="s">
        <v>32</v>
      </c>
      <c r="B47" s="21" t="s">
        <v>192</v>
      </c>
      <c r="C47" s="22" t="s">
        <v>188</v>
      </c>
      <c r="D47" s="22" t="s">
        <v>171</v>
      </c>
      <c r="E47" s="23" t="s">
        <v>66</v>
      </c>
      <c r="F47" s="23" t="s">
        <v>193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 t="s">
        <v>179</v>
      </c>
      <c r="V47" s="23"/>
      <c r="W47" s="23" t="s">
        <v>180</v>
      </c>
      <c r="X47" s="23" t="s">
        <v>41</v>
      </c>
      <c r="Y47" s="23" t="s">
        <v>181</v>
      </c>
      <c r="Z47" s="23" t="s">
        <v>43</v>
      </c>
      <c r="AA47" s="23" t="s">
        <v>44</v>
      </c>
      <c r="AB47" s="24"/>
    </row>
    <row r="48" spans="1:28" s="1" customFormat="1" ht="12.75">
      <c r="A48" s="20" t="s">
        <v>32</v>
      </c>
      <c r="B48" s="21" t="s">
        <v>194</v>
      </c>
      <c r="C48" s="22" t="s">
        <v>188</v>
      </c>
      <c r="D48" s="22" t="s">
        <v>171</v>
      </c>
      <c r="E48" s="23" t="s">
        <v>66</v>
      </c>
      <c r="F48" s="23" t="s">
        <v>195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 t="s">
        <v>179</v>
      </c>
      <c r="V48" s="23"/>
      <c r="W48" s="23" t="s">
        <v>180</v>
      </c>
      <c r="X48" s="23" t="s">
        <v>41</v>
      </c>
      <c r="Y48" s="23" t="s">
        <v>181</v>
      </c>
      <c r="Z48" s="23" t="s">
        <v>43</v>
      </c>
      <c r="AA48" s="23" t="s">
        <v>44</v>
      </c>
      <c r="AB48" s="24"/>
    </row>
    <row r="49" spans="1:28" s="1" customFormat="1" ht="12.75">
      <c r="A49" s="20" t="s">
        <v>32</v>
      </c>
      <c r="B49" s="21" t="s">
        <v>196</v>
      </c>
      <c r="C49" s="22" t="s">
        <v>188</v>
      </c>
      <c r="D49" s="22" t="s">
        <v>171</v>
      </c>
      <c r="E49" s="23" t="s">
        <v>185</v>
      </c>
      <c r="F49" s="23" t="s">
        <v>197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 t="s">
        <v>179</v>
      </c>
      <c r="V49" s="23"/>
      <c r="W49" s="23" t="s">
        <v>180</v>
      </c>
      <c r="X49" s="23" t="s">
        <v>41</v>
      </c>
      <c r="Y49" s="23" t="s">
        <v>181</v>
      </c>
      <c r="Z49" s="23" t="s">
        <v>43</v>
      </c>
      <c r="AA49" s="23" t="s">
        <v>44</v>
      </c>
      <c r="AB49" s="24"/>
    </row>
    <row r="50" spans="1:28" s="1" customFormat="1" ht="12.75">
      <c r="A50" s="20" t="s">
        <v>32</v>
      </c>
      <c r="B50" s="21" t="s">
        <v>198</v>
      </c>
      <c r="C50" s="22" t="s">
        <v>199</v>
      </c>
      <c r="D50" s="22" t="s">
        <v>85</v>
      </c>
      <c r="E50" s="23" t="s">
        <v>200</v>
      </c>
      <c r="F50" s="23" t="s">
        <v>201</v>
      </c>
      <c r="G50" s="23" t="s">
        <v>88</v>
      </c>
      <c r="H50" s="23" t="s">
        <v>202</v>
      </c>
      <c r="I50" s="23" t="s">
        <v>203</v>
      </c>
      <c r="J50" s="23" t="s">
        <v>88</v>
      </c>
      <c r="K50" s="23" t="s">
        <v>202</v>
      </c>
      <c r="L50" s="23" t="s">
        <v>203</v>
      </c>
      <c r="M50" s="23"/>
      <c r="N50" s="23"/>
      <c r="O50" s="23"/>
      <c r="P50" s="23"/>
      <c r="Q50" s="23"/>
      <c r="R50" s="23"/>
      <c r="S50" s="23"/>
      <c r="T50" s="23" t="s">
        <v>129</v>
      </c>
      <c r="U50" s="23" t="s">
        <v>93</v>
      </c>
      <c r="V50" s="23" t="s">
        <v>39</v>
      </c>
      <c r="W50" s="23" t="s">
        <v>94</v>
      </c>
      <c r="X50" s="23" t="s">
        <v>41</v>
      </c>
      <c r="Y50" s="23" t="s">
        <v>95</v>
      </c>
      <c r="Z50" s="23" t="s">
        <v>43</v>
      </c>
      <c r="AA50" s="23" t="s">
        <v>44</v>
      </c>
      <c r="AB50" s="24"/>
    </row>
    <row r="51" spans="1:28" s="1" customFormat="1" ht="12.75">
      <c r="A51" s="20" t="s">
        <v>32</v>
      </c>
      <c r="B51" s="21" t="s">
        <v>204</v>
      </c>
      <c r="C51" s="22" t="s">
        <v>199</v>
      </c>
      <c r="D51" s="22" t="s">
        <v>41</v>
      </c>
      <c r="E51" s="23" t="s">
        <v>205</v>
      </c>
      <c r="F51" s="23" t="s">
        <v>201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 t="s">
        <v>55</v>
      </c>
      <c r="V51" s="23"/>
      <c r="W51" s="23" t="s">
        <v>56</v>
      </c>
      <c r="X51" s="23" t="s">
        <v>41</v>
      </c>
      <c r="Y51" s="23" t="s">
        <v>56</v>
      </c>
      <c r="Z51" s="23" t="s">
        <v>43</v>
      </c>
      <c r="AA51" s="23" t="s">
        <v>44</v>
      </c>
      <c r="AB51" s="24"/>
    </row>
    <row r="52" spans="1:28" s="1" customFormat="1" ht="12.75">
      <c r="A52" s="20" t="s">
        <v>32</v>
      </c>
      <c r="B52" s="21" t="s">
        <v>206</v>
      </c>
      <c r="C52" s="22" t="s">
        <v>207</v>
      </c>
      <c r="D52" s="22" t="s">
        <v>85</v>
      </c>
      <c r="E52" s="23" t="s">
        <v>208</v>
      </c>
      <c r="F52" s="23" t="s">
        <v>209</v>
      </c>
      <c r="G52" s="23" t="s">
        <v>88</v>
      </c>
      <c r="H52" s="23" t="s">
        <v>210</v>
      </c>
      <c r="I52" s="23" t="s">
        <v>211</v>
      </c>
      <c r="J52" s="23" t="s">
        <v>88</v>
      </c>
      <c r="K52" s="23" t="s">
        <v>210</v>
      </c>
      <c r="L52" s="23" t="s">
        <v>211</v>
      </c>
      <c r="M52" s="23"/>
      <c r="N52" s="23"/>
      <c r="O52" s="23"/>
      <c r="P52" s="23"/>
      <c r="Q52" s="23"/>
      <c r="R52" s="23"/>
      <c r="S52" s="23"/>
      <c r="T52" s="23" t="s">
        <v>212</v>
      </c>
      <c r="U52" s="23" t="s">
        <v>93</v>
      </c>
      <c r="V52" s="23" t="s">
        <v>39</v>
      </c>
      <c r="W52" s="23" t="s">
        <v>94</v>
      </c>
      <c r="X52" s="23" t="s">
        <v>41</v>
      </c>
      <c r="Y52" s="23" t="s">
        <v>95</v>
      </c>
      <c r="Z52" s="23" t="s">
        <v>43</v>
      </c>
      <c r="AA52" s="23" t="s">
        <v>44</v>
      </c>
      <c r="AB52" s="24"/>
    </row>
    <row r="53" spans="1:28" s="1" customFormat="1" ht="12.75">
      <c r="A53" s="20" t="s">
        <v>32</v>
      </c>
      <c r="B53" s="21" t="s">
        <v>213</v>
      </c>
      <c r="C53" s="22" t="s">
        <v>207</v>
      </c>
      <c r="D53" s="22" t="s">
        <v>41</v>
      </c>
      <c r="E53" s="23" t="s">
        <v>214</v>
      </c>
      <c r="F53" s="23" t="s">
        <v>209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 t="s">
        <v>55</v>
      </c>
      <c r="V53" s="23"/>
      <c r="W53" s="23" t="s">
        <v>56</v>
      </c>
      <c r="X53" s="23" t="s">
        <v>41</v>
      </c>
      <c r="Y53" s="23" t="s">
        <v>56</v>
      </c>
      <c r="Z53" s="23" t="s">
        <v>43</v>
      </c>
      <c r="AA53" s="23" t="s">
        <v>44</v>
      </c>
      <c r="AB53" s="24"/>
    </row>
    <row r="54" spans="1:28" s="1" customFormat="1" ht="12.75">
      <c r="A54" s="20" t="s">
        <v>32</v>
      </c>
      <c r="B54" s="21" t="s">
        <v>215</v>
      </c>
      <c r="C54" s="22" t="s">
        <v>207</v>
      </c>
      <c r="D54" s="22" t="s">
        <v>41</v>
      </c>
      <c r="E54" s="23" t="s">
        <v>216</v>
      </c>
      <c r="F54" s="23" t="s">
        <v>217</v>
      </c>
      <c r="G54" s="23"/>
      <c r="H54" s="23"/>
      <c r="I54" s="23"/>
      <c r="J54" s="23"/>
      <c r="K54" s="23"/>
      <c r="L54" s="23"/>
      <c r="M54" s="23" t="s">
        <v>218</v>
      </c>
      <c r="N54" s="23"/>
      <c r="O54" s="23"/>
      <c r="P54" s="23"/>
      <c r="Q54" s="23"/>
      <c r="R54" s="23"/>
      <c r="S54" s="23" t="s">
        <v>211</v>
      </c>
      <c r="T54" s="23"/>
      <c r="U54" s="23" t="s">
        <v>55</v>
      </c>
      <c r="V54" s="23"/>
      <c r="W54" s="23" t="s">
        <v>56</v>
      </c>
      <c r="X54" s="23" t="s">
        <v>41</v>
      </c>
      <c r="Y54" s="23" t="s">
        <v>56</v>
      </c>
      <c r="Z54" s="23" t="s">
        <v>43</v>
      </c>
      <c r="AA54" s="23" t="s">
        <v>44</v>
      </c>
      <c r="AB54" s="24"/>
    </row>
    <row r="55" spans="1:28" s="1" customFormat="1" ht="12.75">
      <c r="A55" s="20" t="s">
        <v>32</v>
      </c>
      <c r="B55" s="21" t="s">
        <v>219</v>
      </c>
      <c r="C55" s="22" t="s">
        <v>220</v>
      </c>
      <c r="D55" s="22" t="s">
        <v>85</v>
      </c>
      <c r="E55" s="23" t="s">
        <v>208</v>
      </c>
      <c r="F55" s="23" t="s">
        <v>221</v>
      </c>
      <c r="G55" s="23" t="s">
        <v>88</v>
      </c>
      <c r="H55" s="23" t="s">
        <v>210</v>
      </c>
      <c r="I55" s="23" t="s">
        <v>211</v>
      </c>
      <c r="J55" s="23" t="s">
        <v>88</v>
      </c>
      <c r="K55" s="23" t="s">
        <v>210</v>
      </c>
      <c r="L55" s="23" t="s">
        <v>211</v>
      </c>
      <c r="M55" s="23"/>
      <c r="N55" s="23"/>
      <c r="O55" s="23"/>
      <c r="P55" s="23"/>
      <c r="Q55" s="23"/>
      <c r="R55" s="23"/>
      <c r="S55" s="23"/>
      <c r="T55" s="23" t="s">
        <v>162</v>
      </c>
      <c r="U55" s="23" t="s">
        <v>93</v>
      </c>
      <c r="V55" s="23" t="s">
        <v>39</v>
      </c>
      <c r="W55" s="23" t="s">
        <v>94</v>
      </c>
      <c r="X55" s="23" t="s">
        <v>41</v>
      </c>
      <c r="Y55" s="23" t="s">
        <v>95</v>
      </c>
      <c r="Z55" s="23" t="s">
        <v>43</v>
      </c>
      <c r="AA55" s="23" t="s">
        <v>44</v>
      </c>
      <c r="AB55" s="24"/>
    </row>
    <row r="56" spans="1:28" s="1" customFormat="1" ht="12.75">
      <c r="A56" s="20" t="s">
        <v>32</v>
      </c>
      <c r="B56" s="21" t="s">
        <v>222</v>
      </c>
      <c r="C56" s="22" t="s">
        <v>220</v>
      </c>
      <c r="D56" s="22" t="s">
        <v>41</v>
      </c>
      <c r="E56" s="23" t="s">
        <v>214</v>
      </c>
      <c r="F56" s="23" t="s">
        <v>221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 t="s">
        <v>55</v>
      </c>
      <c r="V56" s="23"/>
      <c r="W56" s="23" t="s">
        <v>56</v>
      </c>
      <c r="X56" s="23" t="s">
        <v>41</v>
      </c>
      <c r="Y56" s="23" t="s">
        <v>56</v>
      </c>
      <c r="Z56" s="23" t="s">
        <v>43</v>
      </c>
      <c r="AA56" s="23" t="s">
        <v>44</v>
      </c>
      <c r="AB56" s="24"/>
    </row>
    <row r="57" spans="1:28" s="1" customFormat="1" ht="12.75">
      <c r="A57" s="20" t="s">
        <v>32</v>
      </c>
      <c r="B57" s="21" t="s">
        <v>223</v>
      </c>
      <c r="C57" s="22" t="s">
        <v>220</v>
      </c>
      <c r="D57" s="22" t="s">
        <v>41</v>
      </c>
      <c r="E57" s="23" t="s">
        <v>216</v>
      </c>
      <c r="F57" s="23" t="s">
        <v>224</v>
      </c>
      <c r="G57" s="23"/>
      <c r="H57" s="23"/>
      <c r="I57" s="23"/>
      <c r="J57" s="23"/>
      <c r="K57" s="23"/>
      <c r="L57" s="23"/>
      <c r="M57" s="23" t="s">
        <v>218</v>
      </c>
      <c r="N57" s="23"/>
      <c r="O57" s="23"/>
      <c r="P57" s="23"/>
      <c r="Q57" s="23"/>
      <c r="R57" s="23"/>
      <c r="S57" s="23" t="s">
        <v>211</v>
      </c>
      <c r="T57" s="23"/>
      <c r="U57" s="23" t="s">
        <v>55</v>
      </c>
      <c r="V57" s="23"/>
      <c r="W57" s="23" t="s">
        <v>56</v>
      </c>
      <c r="X57" s="23" t="s">
        <v>41</v>
      </c>
      <c r="Y57" s="23" t="s">
        <v>56</v>
      </c>
      <c r="Z57" s="23" t="s">
        <v>43</v>
      </c>
      <c r="AA57" s="23" t="s">
        <v>44</v>
      </c>
      <c r="AB57" s="24"/>
    </row>
    <row r="58" spans="1:28" s="1" customFormat="1" ht="12.75">
      <c r="A58" s="20" t="s">
        <v>32</v>
      </c>
      <c r="B58" s="21" t="s">
        <v>225</v>
      </c>
      <c r="C58" s="22" t="s">
        <v>226</v>
      </c>
      <c r="D58" s="22" t="s">
        <v>85</v>
      </c>
      <c r="E58" s="23" t="s">
        <v>200</v>
      </c>
      <c r="F58" s="23" t="s">
        <v>227</v>
      </c>
      <c r="G58" s="23" t="s">
        <v>88</v>
      </c>
      <c r="H58" s="23" t="s">
        <v>228</v>
      </c>
      <c r="I58" s="23" t="s">
        <v>203</v>
      </c>
      <c r="J58" s="23" t="s">
        <v>88</v>
      </c>
      <c r="K58" s="23" t="s">
        <v>228</v>
      </c>
      <c r="L58" s="23" t="s">
        <v>203</v>
      </c>
      <c r="M58" s="23"/>
      <c r="N58" s="23"/>
      <c r="O58" s="23"/>
      <c r="P58" s="23"/>
      <c r="Q58" s="23"/>
      <c r="R58" s="23"/>
      <c r="S58" s="23"/>
      <c r="T58" s="23"/>
      <c r="U58" s="23" t="s">
        <v>93</v>
      </c>
      <c r="V58" s="23" t="s">
        <v>39</v>
      </c>
      <c r="W58" s="23" t="s">
        <v>94</v>
      </c>
      <c r="X58" s="23" t="s">
        <v>41</v>
      </c>
      <c r="Y58" s="23" t="s">
        <v>95</v>
      </c>
      <c r="Z58" s="23" t="s">
        <v>43</v>
      </c>
      <c r="AA58" s="23" t="s">
        <v>44</v>
      </c>
      <c r="AB58" s="24"/>
    </row>
    <row r="59" spans="1:28" s="1" customFormat="1" ht="12.75">
      <c r="A59" s="20" t="s">
        <v>32</v>
      </c>
      <c r="B59" s="21" t="s">
        <v>229</v>
      </c>
      <c r="C59" s="22" t="s">
        <v>226</v>
      </c>
      <c r="D59" s="22" t="s">
        <v>41</v>
      </c>
      <c r="E59" s="23" t="s">
        <v>205</v>
      </c>
      <c r="F59" s="23" t="s">
        <v>227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 t="s">
        <v>55</v>
      </c>
      <c r="V59" s="23"/>
      <c r="W59" s="23" t="s">
        <v>56</v>
      </c>
      <c r="X59" s="23" t="s">
        <v>41</v>
      </c>
      <c r="Y59" s="23" t="s">
        <v>56</v>
      </c>
      <c r="Z59" s="23" t="s">
        <v>43</v>
      </c>
      <c r="AA59" s="23" t="s">
        <v>44</v>
      </c>
      <c r="AB59" s="24"/>
    </row>
    <row r="60" spans="1:28" s="1" customFormat="1" ht="12.75">
      <c r="A60" s="20" t="s">
        <v>32</v>
      </c>
      <c r="B60" s="21" t="s">
        <v>230</v>
      </c>
      <c r="C60" s="22" t="s">
        <v>226</v>
      </c>
      <c r="D60" s="22" t="s">
        <v>41</v>
      </c>
      <c r="E60" s="23" t="s">
        <v>231</v>
      </c>
      <c r="F60" s="23" t="s">
        <v>232</v>
      </c>
      <c r="G60" s="23"/>
      <c r="H60" s="23"/>
      <c r="I60" s="23"/>
      <c r="J60" s="23"/>
      <c r="K60" s="23"/>
      <c r="L60" s="23"/>
      <c r="M60" s="23" t="s">
        <v>233</v>
      </c>
      <c r="N60" s="23"/>
      <c r="O60" s="23"/>
      <c r="P60" s="23"/>
      <c r="Q60" s="23"/>
      <c r="R60" s="23"/>
      <c r="S60" s="23" t="s">
        <v>203</v>
      </c>
      <c r="T60" s="23"/>
      <c r="U60" s="23" t="s">
        <v>55</v>
      </c>
      <c r="V60" s="23"/>
      <c r="W60" s="23" t="s">
        <v>56</v>
      </c>
      <c r="X60" s="23" t="s">
        <v>41</v>
      </c>
      <c r="Y60" s="23" t="s">
        <v>56</v>
      </c>
      <c r="Z60" s="23" t="s">
        <v>43</v>
      </c>
      <c r="AA60" s="23" t="s">
        <v>44</v>
      </c>
      <c r="AB60" s="24"/>
    </row>
    <row r="61" spans="1:28" s="1" customFormat="1" ht="12.75">
      <c r="A61" s="20" t="s">
        <v>32</v>
      </c>
      <c r="B61" s="21" t="s">
        <v>234</v>
      </c>
      <c r="C61" s="22" t="s">
        <v>235</v>
      </c>
      <c r="D61" s="22" t="s">
        <v>85</v>
      </c>
      <c r="E61" s="23" t="s">
        <v>200</v>
      </c>
      <c r="F61" s="23" t="s">
        <v>236</v>
      </c>
      <c r="G61" s="23" t="s">
        <v>88</v>
      </c>
      <c r="H61" s="23" t="s">
        <v>228</v>
      </c>
      <c r="I61" s="23" t="s">
        <v>203</v>
      </c>
      <c r="J61" s="23" t="s">
        <v>88</v>
      </c>
      <c r="K61" s="23" t="s">
        <v>228</v>
      </c>
      <c r="L61" s="23" t="s">
        <v>203</v>
      </c>
      <c r="M61" s="23"/>
      <c r="N61" s="23"/>
      <c r="O61" s="23"/>
      <c r="P61" s="23"/>
      <c r="Q61" s="23"/>
      <c r="R61" s="23"/>
      <c r="S61" s="23"/>
      <c r="T61" s="23"/>
      <c r="U61" s="23" t="s">
        <v>93</v>
      </c>
      <c r="V61" s="23" t="s">
        <v>39</v>
      </c>
      <c r="W61" s="23" t="s">
        <v>94</v>
      </c>
      <c r="X61" s="23" t="s">
        <v>41</v>
      </c>
      <c r="Y61" s="23" t="s">
        <v>95</v>
      </c>
      <c r="Z61" s="23" t="s">
        <v>43</v>
      </c>
      <c r="AA61" s="23" t="s">
        <v>44</v>
      </c>
      <c r="AB61" s="24"/>
    </row>
    <row r="62" spans="1:28" s="1" customFormat="1" ht="12.75">
      <c r="A62" s="20" t="s">
        <v>32</v>
      </c>
      <c r="B62" s="21" t="s">
        <v>237</v>
      </c>
      <c r="C62" s="22" t="s">
        <v>235</v>
      </c>
      <c r="D62" s="22" t="s">
        <v>41</v>
      </c>
      <c r="E62" s="23" t="s">
        <v>205</v>
      </c>
      <c r="F62" s="23" t="s">
        <v>236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 t="s">
        <v>55</v>
      </c>
      <c r="V62" s="23"/>
      <c r="W62" s="23" t="s">
        <v>56</v>
      </c>
      <c r="X62" s="23" t="s">
        <v>41</v>
      </c>
      <c r="Y62" s="23" t="s">
        <v>56</v>
      </c>
      <c r="Z62" s="23" t="s">
        <v>43</v>
      </c>
      <c r="AA62" s="23" t="s">
        <v>44</v>
      </c>
      <c r="AB62" s="24"/>
    </row>
    <row r="63" spans="1:28" s="1" customFormat="1" ht="12.75">
      <c r="A63" s="20" t="s">
        <v>32</v>
      </c>
      <c r="B63" s="21" t="s">
        <v>238</v>
      </c>
      <c r="C63" s="22" t="s">
        <v>235</v>
      </c>
      <c r="D63" s="22" t="s">
        <v>41</v>
      </c>
      <c r="E63" s="23" t="s">
        <v>231</v>
      </c>
      <c r="F63" s="23" t="s">
        <v>239</v>
      </c>
      <c r="G63" s="23"/>
      <c r="H63" s="23"/>
      <c r="I63" s="23"/>
      <c r="J63" s="23"/>
      <c r="K63" s="23"/>
      <c r="L63" s="23"/>
      <c r="M63" s="23" t="s">
        <v>233</v>
      </c>
      <c r="N63" s="23"/>
      <c r="O63" s="23"/>
      <c r="P63" s="23"/>
      <c r="Q63" s="23"/>
      <c r="R63" s="23"/>
      <c r="S63" s="23" t="s">
        <v>203</v>
      </c>
      <c r="T63" s="23"/>
      <c r="U63" s="23" t="s">
        <v>55</v>
      </c>
      <c r="V63" s="23"/>
      <c r="W63" s="23" t="s">
        <v>56</v>
      </c>
      <c r="X63" s="23" t="s">
        <v>41</v>
      </c>
      <c r="Y63" s="23" t="s">
        <v>56</v>
      </c>
      <c r="Z63" s="23" t="s">
        <v>43</v>
      </c>
      <c r="AA63" s="23" t="s">
        <v>44</v>
      </c>
      <c r="AB63" s="24"/>
    </row>
    <row r="64" spans="1:28" s="1" customFormat="1" ht="12.75">
      <c r="A64" s="20" t="s">
        <v>32</v>
      </c>
      <c r="B64" s="21" t="s">
        <v>240</v>
      </c>
      <c r="C64" s="22" t="s">
        <v>241</v>
      </c>
      <c r="D64" s="22" t="s">
        <v>85</v>
      </c>
      <c r="E64" s="23" t="s">
        <v>242</v>
      </c>
      <c r="F64" s="23" t="s">
        <v>243</v>
      </c>
      <c r="G64" s="23" t="s">
        <v>88</v>
      </c>
      <c r="H64" s="23" t="s">
        <v>244</v>
      </c>
      <c r="I64" s="23" t="s">
        <v>245</v>
      </c>
      <c r="J64" s="23" t="s">
        <v>88</v>
      </c>
      <c r="K64" s="23" t="s">
        <v>244</v>
      </c>
      <c r="L64" s="23" t="s">
        <v>245</v>
      </c>
      <c r="M64" s="23"/>
      <c r="N64" s="23"/>
      <c r="O64" s="23"/>
      <c r="P64" s="23"/>
      <c r="Q64" s="23"/>
      <c r="R64" s="23"/>
      <c r="S64" s="23"/>
      <c r="T64" s="23"/>
      <c r="U64" s="23" t="s">
        <v>93</v>
      </c>
      <c r="V64" s="23" t="s">
        <v>39</v>
      </c>
      <c r="W64" s="23" t="s">
        <v>94</v>
      </c>
      <c r="X64" s="23" t="s">
        <v>41</v>
      </c>
      <c r="Y64" s="23" t="s">
        <v>95</v>
      </c>
      <c r="Z64" s="23" t="s">
        <v>43</v>
      </c>
      <c r="AA64" s="23" t="s">
        <v>44</v>
      </c>
      <c r="AB64" s="24"/>
    </row>
    <row r="65" spans="1:28" s="1" customFormat="1" ht="12.75">
      <c r="A65" s="20" t="s">
        <v>32</v>
      </c>
      <c r="B65" s="21" t="s">
        <v>246</v>
      </c>
      <c r="C65" s="22" t="s">
        <v>241</v>
      </c>
      <c r="D65" s="22" t="s">
        <v>41</v>
      </c>
      <c r="E65" s="23" t="s">
        <v>247</v>
      </c>
      <c r="F65" s="23" t="s">
        <v>243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 t="s">
        <v>55</v>
      </c>
      <c r="V65" s="23"/>
      <c r="W65" s="23" t="s">
        <v>56</v>
      </c>
      <c r="X65" s="23" t="s">
        <v>41</v>
      </c>
      <c r="Y65" s="23" t="s">
        <v>56</v>
      </c>
      <c r="Z65" s="23" t="s">
        <v>43</v>
      </c>
      <c r="AA65" s="23" t="s">
        <v>44</v>
      </c>
      <c r="AB65" s="24"/>
    </row>
    <row r="66" spans="1:28" s="1" customFormat="1" ht="12.75">
      <c r="A66" s="20" t="s">
        <v>32</v>
      </c>
      <c r="B66" s="21" t="s">
        <v>248</v>
      </c>
      <c r="C66" s="22" t="s">
        <v>249</v>
      </c>
      <c r="D66" s="22" t="s">
        <v>85</v>
      </c>
      <c r="E66" s="23" t="s">
        <v>242</v>
      </c>
      <c r="F66" s="23" t="s">
        <v>250</v>
      </c>
      <c r="G66" s="23" t="s">
        <v>88</v>
      </c>
      <c r="H66" s="23" t="s">
        <v>244</v>
      </c>
      <c r="I66" s="23" t="s">
        <v>245</v>
      </c>
      <c r="J66" s="23" t="s">
        <v>88</v>
      </c>
      <c r="K66" s="23" t="s">
        <v>244</v>
      </c>
      <c r="L66" s="23" t="s">
        <v>245</v>
      </c>
      <c r="M66" s="23"/>
      <c r="N66" s="23"/>
      <c r="O66" s="23"/>
      <c r="P66" s="23"/>
      <c r="Q66" s="23"/>
      <c r="R66" s="23"/>
      <c r="S66" s="23"/>
      <c r="T66" s="23"/>
      <c r="U66" s="23" t="s">
        <v>93</v>
      </c>
      <c r="V66" s="23" t="s">
        <v>39</v>
      </c>
      <c r="W66" s="23" t="s">
        <v>94</v>
      </c>
      <c r="X66" s="23" t="s">
        <v>41</v>
      </c>
      <c r="Y66" s="23" t="s">
        <v>95</v>
      </c>
      <c r="Z66" s="23" t="s">
        <v>43</v>
      </c>
      <c r="AA66" s="23" t="s">
        <v>44</v>
      </c>
      <c r="AB66" s="24"/>
    </row>
    <row r="67" spans="1:28" s="1" customFormat="1" ht="12.75">
      <c r="A67" s="20" t="s">
        <v>32</v>
      </c>
      <c r="B67" s="21" t="s">
        <v>251</v>
      </c>
      <c r="C67" s="22" t="s">
        <v>249</v>
      </c>
      <c r="D67" s="22" t="s">
        <v>41</v>
      </c>
      <c r="E67" s="23" t="s">
        <v>247</v>
      </c>
      <c r="F67" s="23" t="s">
        <v>250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 t="s">
        <v>55</v>
      </c>
      <c r="V67" s="23"/>
      <c r="W67" s="23" t="s">
        <v>56</v>
      </c>
      <c r="X67" s="23" t="s">
        <v>41</v>
      </c>
      <c r="Y67" s="23" t="s">
        <v>56</v>
      </c>
      <c r="Z67" s="23" t="s">
        <v>43</v>
      </c>
      <c r="AA67" s="23" t="s">
        <v>44</v>
      </c>
      <c r="AB67" s="24"/>
    </row>
    <row r="68" spans="1:28" s="1" customFormat="1" ht="12.75">
      <c r="A68" s="20" t="s">
        <v>32</v>
      </c>
      <c r="B68" s="21" t="s">
        <v>252</v>
      </c>
      <c r="C68" s="22" t="s">
        <v>253</v>
      </c>
      <c r="D68" s="22" t="s">
        <v>115</v>
      </c>
      <c r="E68" s="23" t="s">
        <v>254</v>
      </c>
      <c r="F68" s="23" t="s">
        <v>255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 t="s">
        <v>38</v>
      </c>
      <c r="V68" s="23" t="s">
        <v>39</v>
      </c>
      <c r="W68" s="23" t="s">
        <v>40</v>
      </c>
      <c r="X68" s="23" t="s">
        <v>41</v>
      </c>
      <c r="Y68" s="23" t="s">
        <v>42</v>
      </c>
      <c r="Z68" s="23" t="s">
        <v>43</v>
      </c>
      <c r="AA68" s="23" t="s">
        <v>44</v>
      </c>
      <c r="AB68" s="24"/>
    </row>
    <row r="69" spans="1:28" s="1" customFormat="1" ht="12.75">
      <c r="A69" s="20" t="s">
        <v>256</v>
      </c>
      <c r="B69" s="21" t="s">
        <v>257</v>
      </c>
      <c r="C69" s="22" t="s">
        <v>258</v>
      </c>
      <c r="D69" s="22" t="s">
        <v>35</v>
      </c>
      <c r="E69" s="23" t="s">
        <v>36</v>
      </c>
      <c r="F69" s="23" t="s">
        <v>259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 t="s">
        <v>38</v>
      </c>
      <c r="V69" s="23" t="s">
        <v>39</v>
      </c>
      <c r="W69" s="23" t="s">
        <v>40</v>
      </c>
      <c r="X69" s="23" t="s">
        <v>41</v>
      </c>
      <c r="Y69" s="23" t="s">
        <v>42</v>
      </c>
      <c r="Z69" s="23" t="s">
        <v>43</v>
      </c>
      <c r="AA69" s="23" t="s">
        <v>44</v>
      </c>
      <c r="AB69" s="24"/>
    </row>
    <row r="70" spans="1:28" s="1" customFormat="1" ht="12.75">
      <c r="A70" s="20" t="s">
        <v>256</v>
      </c>
      <c r="B70" s="21" t="s">
        <v>260</v>
      </c>
      <c r="C70" s="22" t="s">
        <v>258</v>
      </c>
      <c r="D70" s="22" t="s">
        <v>35</v>
      </c>
      <c r="E70" s="23" t="s">
        <v>46</v>
      </c>
      <c r="F70" s="23" t="s">
        <v>261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 t="s">
        <v>48</v>
      </c>
      <c r="V70" s="23" t="s">
        <v>39</v>
      </c>
      <c r="W70" s="23" t="s">
        <v>49</v>
      </c>
      <c r="X70" s="23" t="s">
        <v>41</v>
      </c>
      <c r="Y70" s="23" t="s">
        <v>42</v>
      </c>
      <c r="Z70" s="23" t="s">
        <v>43</v>
      </c>
      <c r="AA70" s="23" t="s">
        <v>44</v>
      </c>
      <c r="AB70" s="24"/>
    </row>
    <row r="71" spans="1:28" s="1" customFormat="1" ht="12.75">
      <c r="A71" s="20" t="s">
        <v>256</v>
      </c>
      <c r="B71" s="21" t="s">
        <v>262</v>
      </c>
      <c r="C71" s="22" t="s">
        <v>258</v>
      </c>
      <c r="D71" s="22" t="s">
        <v>35</v>
      </c>
      <c r="E71" s="23" t="s">
        <v>51</v>
      </c>
      <c r="F71" s="23" t="s">
        <v>263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 t="s">
        <v>48</v>
      </c>
      <c r="V71" s="23" t="s">
        <v>39</v>
      </c>
      <c r="W71" s="23" t="s">
        <v>49</v>
      </c>
      <c r="X71" s="23" t="s">
        <v>41</v>
      </c>
      <c r="Y71" s="23" t="s">
        <v>42</v>
      </c>
      <c r="Z71" s="23" t="s">
        <v>43</v>
      </c>
      <c r="AA71" s="23" t="s">
        <v>44</v>
      </c>
      <c r="AB71" s="24"/>
    </row>
    <row r="72" spans="1:28" s="1" customFormat="1" ht="12.75">
      <c r="A72" s="20" t="s">
        <v>256</v>
      </c>
      <c r="B72" s="21" t="s">
        <v>264</v>
      </c>
      <c r="C72" s="22" t="s">
        <v>258</v>
      </c>
      <c r="D72" s="22" t="s">
        <v>41</v>
      </c>
      <c r="E72" s="23" t="s">
        <v>54</v>
      </c>
      <c r="F72" s="23" t="s">
        <v>261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 t="s">
        <v>55</v>
      </c>
      <c r="V72" s="23"/>
      <c r="W72" s="23" t="s">
        <v>56</v>
      </c>
      <c r="X72" s="23" t="s">
        <v>41</v>
      </c>
      <c r="Y72" s="23" t="s">
        <v>56</v>
      </c>
      <c r="Z72" s="23" t="s">
        <v>43</v>
      </c>
      <c r="AA72" s="23" t="s">
        <v>44</v>
      </c>
      <c r="AB72" s="24"/>
    </row>
    <row r="73" spans="1:28" s="1" customFormat="1" ht="12.75">
      <c r="A73" s="20" t="s">
        <v>256</v>
      </c>
      <c r="B73" s="21" t="s">
        <v>265</v>
      </c>
      <c r="C73" s="22" t="s">
        <v>258</v>
      </c>
      <c r="D73" s="22" t="s">
        <v>41</v>
      </c>
      <c r="E73" s="23" t="s">
        <v>58</v>
      </c>
      <c r="F73" s="23" t="s">
        <v>263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 t="s">
        <v>55</v>
      </c>
      <c r="V73" s="23"/>
      <c r="W73" s="23" t="s">
        <v>56</v>
      </c>
      <c r="X73" s="23" t="s">
        <v>41</v>
      </c>
      <c r="Y73" s="23" t="s">
        <v>56</v>
      </c>
      <c r="Z73" s="23" t="s">
        <v>43</v>
      </c>
      <c r="AA73" s="23" t="s">
        <v>44</v>
      </c>
      <c r="AB73" s="24"/>
    </row>
    <row r="74" spans="1:28" s="1" customFormat="1" ht="12.75">
      <c r="A74" s="20" t="s">
        <v>256</v>
      </c>
      <c r="B74" s="21" t="s">
        <v>266</v>
      </c>
      <c r="C74" s="22" t="s">
        <v>258</v>
      </c>
      <c r="D74" s="22" t="s">
        <v>41</v>
      </c>
      <c r="E74" s="23" t="s">
        <v>60</v>
      </c>
      <c r="F74" s="23" t="s">
        <v>267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 t="s">
        <v>55</v>
      </c>
      <c r="V74" s="23"/>
      <c r="W74" s="23" t="s">
        <v>56</v>
      </c>
      <c r="X74" s="23" t="s">
        <v>41</v>
      </c>
      <c r="Y74" s="23" t="s">
        <v>56</v>
      </c>
      <c r="Z74" s="23" t="s">
        <v>43</v>
      </c>
      <c r="AA74" s="23" t="s">
        <v>44</v>
      </c>
      <c r="AB74" s="24"/>
    </row>
    <row r="75" spans="1:28" s="1" customFormat="1" ht="12.75">
      <c r="A75" s="20" t="s">
        <v>256</v>
      </c>
      <c r="B75" s="21" t="s">
        <v>268</v>
      </c>
      <c r="C75" s="22" t="s">
        <v>258</v>
      </c>
      <c r="D75" s="22" t="s">
        <v>41</v>
      </c>
      <c r="E75" s="23" t="s">
        <v>63</v>
      </c>
      <c r="F75" s="23" t="s">
        <v>269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 t="s">
        <v>55</v>
      </c>
      <c r="V75" s="23"/>
      <c r="W75" s="23" t="s">
        <v>56</v>
      </c>
      <c r="X75" s="23" t="s">
        <v>41</v>
      </c>
      <c r="Y75" s="23" t="s">
        <v>56</v>
      </c>
      <c r="Z75" s="23" t="s">
        <v>43</v>
      </c>
      <c r="AA75" s="23" t="s">
        <v>44</v>
      </c>
      <c r="AB75" s="24"/>
    </row>
    <row r="76" spans="1:28" s="1" customFormat="1" ht="12.75">
      <c r="A76" s="20" t="s">
        <v>256</v>
      </c>
      <c r="B76" s="21" t="s">
        <v>270</v>
      </c>
      <c r="C76" s="22" t="s">
        <v>258</v>
      </c>
      <c r="D76" s="22" t="s">
        <v>41</v>
      </c>
      <c r="E76" s="23" t="s">
        <v>66</v>
      </c>
      <c r="F76" s="23" t="s">
        <v>271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 t="s">
        <v>55</v>
      </c>
      <c r="V76" s="23"/>
      <c r="W76" s="23" t="s">
        <v>56</v>
      </c>
      <c r="X76" s="23" t="s">
        <v>41</v>
      </c>
      <c r="Y76" s="23" t="s">
        <v>56</v>
      </c>
      <c r="Z76" s="23" t="s">
        <v>43</v>
      </c>
      <c r="AA76" s="23" t="s">
        <v>44</v>
      </c>
      <c r="AB76" s="24"/>
    </row>
    <row r="77" spans="1:28" s="1" customFormat="1" ht="12.75">
      <c r="A77" s="20" t="s">
        <v>256</v>
      </c>
      <c r="B77" s="21" t="s">
        <v>272</v>
      </c>
      <c r="C77" s="22" t="s">
        <v>273</v>
      </c>
      <c r="D77" s="22" t="s">
        <v>85</v>
      </c>
      <c r="E77" s="23" t="s">
        <v>274</v>
      </c>
      <c r="F77" s="23" t="s">
        <v>275</v>
      </c>
      <c r="G77" s="29">
        <v>2.8</v>
      </c>
      <c r="H77" s="29">
        <v>28</v>
      </c>
      <c r="I77" s="29" t="s">
        <v>276</v>
      </c>
      <c r="J77" s="29">
        <v>2.8</v>
      </c>
      <c r="K77" s="29">
        <v>28</v>
      </c>
      <c r="L77" s="29" t="s">
        <v>276</v>
      </c>
      <c r="M77" s="29"/>
      <c r="N77" s="23"/>
      <c r="O77" s="23"/>
      <c r="P77" s="23"/>
      <c r="Q77" s="23"/>
      <c r="R77" s="23"/>
      <c r="S77" s="23"/>
      <c r="T77" s="23"/>
      <c r="U77" s="23" t="s">
        <v>93</v>
      </c>
      <c r="V77" s="23" t="s">
        <v>39</v>
      </c>
      <c r="W77" s="23" t="s">
        <v>94</v>
      </c>
      <c r="X77" s="23" t="s">
        <v>41</v>
      </c>
      <c r="Y77" s="23" t="s">
        <v>95</v>
      </c>
      <c r="Z77" s="23" t="s">
        <v>43</v>
      </c>
      <c r="AA77" s="23" t="s">
        <v>44</v>
      </c>
      <c r="AB77" s="24"/>
    </row>
    <row r="78" spans="1:28" s="1" customFormat="1" ht="12.75">
      <c r="A78" s="20" t="s">
        <v>256</v>
      </c>
      <c r="B78" s="21" t="s">
        <v>277</v>
      </c>
      <c r="C78" s="22" t="s">
        <v>273</v>
      </c>
      <c r="D78" s="22" t="s">
        <v>41</v>
      </c>
      <c r="E78" s="23" t="s">
        <v>278</v>
      </c>
      <c r="F78" s="23" t="s">
        <v>275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 t="s">
        <v>55</v>
      </c>
      <c r="V78" s="23"/>
      <c r="W78" s="23" t="s">
        <v>56</v>
      </c>
      <c r="X78" s="23" t="s">
        <v>41</v>
      </c>
      <c r="Y78" s="23" t="s">
        <v>56</v>
      </c>
      <c r="Z78" s="23" t="s">
        <v>43</v>
      </c>
      <c r="AA78" s="23" t="s">
        <v>44</v>
      </c>
      <c r="AB78" s="24"/>
    </row>
    <row r="79" spans="1:28" s="1" customFormat="1" ht="12.75">
      <c r="A79" s="20" t="s">
        <v>256</v>
      </c>
      <c r="B79" s="21" t="s">
        <v>279</v>
      </c>
      <c r="C79" s="22" t="s">
        <v>273</v>
      </c>
      <c r="D79" s="22" t="s">
        <v>41</v>
      </c>
      <c r="E79" s="23" t="s">
        <v>110</v>
      </c>
      <c r="F79" s="23" t="s">
        <v>280</v>
      </c>
      <c r="G79" s="23"/>
      <c r="H79" s="23"/>
      <c r="I79" s="23"/>
      <c r="J79" s="23"/>
      <c r="K79" s="23"/>
      <c r="L79" s="23"/>
      <c r="M79" s="23"/>
      <c r="N79" s="23"/>
      <c r="O79" s="23"/>
      <c r="P79" s="23" t="s">
        <v>281</v>
      </c>
      <c r="Q79" s="23"/>
      <c r="R79" s="23"/>
      <c r="S79" s="23" t="s">
        <v>276</v>
      </c>
      <c r="T79" s="23"/>
      <c r="U79" s="23" t="s">
        <v>55</v>
      </c>
      <c r="V79" s="23"/>
      <c r="W79" s="23" t="s">
        <v>56</v>
      </c>
      <c r="X79" s="23" t="s">
        <v>41</v>
      </c>
      <c r="Y79" s="23" t="s">
        <v>56</v>
      </c>
      <c r="Z79" s="23" t="s">
        <v>43</v>
      </c>
      <c r="AA79" s="23" t="s">
        <v>44</v>
      </c>
      <c r="AB79" s="24"/>
    </row>
    <row r="80" spans="1:28" s="1" customFormat="1" ht="12.75">
      <c r="A80" s="20" t="s">
        <v>256</v>
      </c>
      <c r="B80" s="21" t="s">
        <v>282</v>
      </c>
      <c r="C80" s="22" t="s">
        <v>283</v>
      </c>
      <c r="D80" s="22" t="s">
        <v>85</v>
      </c>
      <c r="E80" s="23" t="s">
        <v>123</v>
      </c>
      <c r="F80" s="23" t="s">
        <v>284</v>
      </c>
      <c r="G80" s="23" t="s">
        <v>125</v>
      </c>
      <c r="H80" s="23" t="s">
        <v>285</v>
      </c>
      <c r="I80" s="23" t="s">
        <v>127</v>
      </c>
      <c r="J80" s="23" t="s">
        <v>88</v>
      </c>
      <c r="K80" s="23" t="s">
        <v>89</v>
      </c>
      <c r="L80" s="23" t="s">
        <v>128</v>
      </c>
      <c r="M80" s="23"/>
      <c r="N80" s="23"/>
      <c r="O80" s="23"/>
      <c r="P80" s="23"/>
      <c r="Q80" s="23"/>
      <c r="R80" s="23"/>
      <c r="S80" s="23"/>
      <c r="T80" s="23" t="s">
        <v>286</v>
      </c>
      <c r="U80" s="23" t="s">
        <v>93</v>
      </c>
      <c r="V80" s="23" t="s">
        <v>39</v>
      </c>
      <c r="W80" s="23" t="s">
        <v>94</v>
      </c>
      <c r="X80" s="23" t="s">
        <v>41</v>
      </c>
      <c r="Y80" s="23" t="s">
        <v>95</v>
      </c>
      <c r="Z80" s="23" t="s">
        <v>43</v>
      </c>
      <c r="AA80" s="23" t="s">
        <v>44</v>
      </c>
      <c r="AB80" s="24"/>
    </row>
    <row r="81" spans="1:28" s="1" customFormat="1" ht="12.75">
      <c r="A81" s="20" t="s">
        <v>256</v>
      </c>
      <c r="B81" s="21" t="s">
        <v>287</v>
      </c>
      <c r="C81" s="22" t="s">
        <v>283</v>
      </c>
      <c r="D81" s="22" t="s">
        <v>41</v>
      </c>
      <c r="E81" s="23" t="s">
        <v>151</v>
      </c>
      <c r="F81" s="23" t="s">
        <v>288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 t="s">
        <v>55</v>
      </c>
      <c r="V81" s="23"/>
      <c r="W81" s="23" t="s">
        <v>56</v>
      </c>
      <c r="X81" s="23" t="s">
        <v>41</v>
      </c>
      <c r="Y81" s="23" t="s">
        <v>56</v>
      </c>
      <c r="Z81" s="23" t="s">
        <v>43</v>
      </c>
      <c r="AA81" s="23" t="s">
        <v>44</v>
      </c>
      <c r="AB81" s="24"/>
    </row>
    <row r="82" spans="1:28" s="1" customFormat="1" ht="12.75">
      <c r="A82" s="20" t="s">
        <v>256</v>
      </c>
      <c r="B82" s="21" t="s">
        <v>289</v>
      </c>
      <c r="C82" s="22" t="s">
        <v>283</v>
      </c>
      <c r="D82" s="22" t="s">
        <v>41</v>
      </c>
      <c r="E82" s="23" t="s">
        <v>140</v>
      </c>
      <c r="F82" s="23" t="s">
        <v>290</v>
      </c>
      <c r="G82" s="23"/>
      <c r="H82" s="23"/>
      <c r="I82" s="23"/>
      <c r="J82" s="23"/>
      <c r="K82" s="23"/>
      <c r="L82" s="23"/>
      <c r="M82" s="23" t="s">
        <v>291</v>
      </c>
      <c r="N82" s="23"/>
      <c r="O82" s="23"/>
      <c r="P82" s="23"/>
      <c r="Q82" s="23"/>
      <c r="R82" s="23"/>
      <c r="S82" s="23" t="s">
        <v>128</v>
      </c>
      <c r="T82" s="23"/>
      <c r="U82" s="23" t="s">
        <v>55</v>
      </c>
      <c r="V82" s="23"/>
      <c r="W82" s="23" t="s">
        <v>56</v>
      </c>
      <c r="X82" s="23" t="s">
        <v>41</v>
      </c>
      <c r="Y82" s="23" t="s">
        <v>56</v>
      </c>
      <c r="Z82" s="23" t="s">
        <v>43</v>
      </c>
      <c r="AA82" s="23" t="s">
        <v>44</v>
      </c>
      <c r="AB82" s="24"/>
    </row>
    <row r="83" spans="1:28" s="1" customFormat="1" ht="12.75">
      <c r="A83" s="20" t="s">
        <v>256</v>
      </c>
      <c r="B83" s="21" t="s">
        <v>292</v>
      </c>
      <c r="C83" s="22" t="s">
        <v>283</v>
      </c>
      <c r="D83" s="22" t="s">
        <v>41</v>
      </c>
      <c r="E83" s="23" t="s">
        <v>144</v>
      </c>
      <c r="F83" s="23" t="s">
        <v>293</v>
      </c>
      <c r="G83" s="23"/>
      <c r="H83" s="23"/>
      <c r="I83" s="23"/>
      <c r="J83" s="23"/>
      <c r="K83" s="23"/>
      <c r="L83" s="23"/>
      <c r="M83" s="23"/>
      <c r="N83" s="23"/>
      <c r="O83" s="23"/>
      <c r="P83" s="23" t="s">
        <v>294</v>
      </c>
      <c r="Q83" s="23"/>
      <c r="R83" s="23"/>
      <c r="S83" s="23" t="s">
        <v>128</v>
      </c>
      <c r="T83" s="23"/>
      <c r="U83" s="23" t="s">
        <v>55</v>
      </c>
      <c r="V83" s="23"/>
      <c r="W83" s="23" t="s">
        <v>56</v>
      </c>
      <c r="X83" s="23" t="s">
        <v>41</v>
      </c>
      <c r="Y83" s="23" t="s">
        <v>56</v>
      </c>
      <c r="Z83" s="23" t="s">
        <v>43</v>
      </c>
      <c r="AA83" s="23" t="s">
        <v>44</v>
      </c>
      <c r="AB83" s="24"/>
    </row>
    <row r="84" spans="1:28" s="1" customFormat="1" ht="12.75">
      <c r="A84" s="20" t="s">
        <v>256</v>
      </c>
      <c r="B84" s="21" t="s">
        <v>295</v>
      </c>
      <c r="C84" s="22" t="s">
        <v>283</v>
      </c>
      <c r="D84" s="22" t="s">
        <v>41</v>
      </c>
      <c r="E84" s="23" t="s">
        <v>296</v>
      </c>
      <c r="F84" s="23" t="s">
        <v>297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 t="s">
        <v>55</v>
      </c>
      <c r="V84" s="23"/>
      <c r="W84" s="23" t="s">
        <v>56</v>
      </c>
      <c r="X84" s="23" t="s">
        <v>41</v>
      </c>
      <c r="Y84" s="23" t="s">
        <v>56</v>
      </c>
      <c r="Z84" s="23" t="s">
        <v>43</v>
      </c>
      <c r="AA84" s="23" t="s">
        <v>44</v>
      </c>
      <c r="AB84" s="24"/>
    </row>
    <row r="85" spans="1:28" s="1" customFormat="1" ht="12.75">
      <c r="A85" s="20" t="s">
        <v>256</v>
      </c>
      <c r="B85" s="21" t="s">
        <v>298</v>
      </c>
      <c r="C85" s="22" t="s">
        <v>283</v>
      </c>
      <c r="D85" s="22" t="s">
        <v>41</v>
      </c>
      <c r="E85" s="23" t="s">
        <v>299</v>
      </c>
      <c r="F85" s="23" t="s">
        <v>300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 t="s">
        <v>55</v>
      </c>
      <c r="V85" s="23"/>
      <c r="W85" s="23" t="s">
        <v>56</v>
      </c>
      <c r="X85" s="23" t="s">
        <v>41</v>
      </c>
      <c r="Y85" s="23" t="s">
        <v>56</v>
      </c>
      <c r="Z85" s="23" t="s">
        <v>43</v>
      </c>
      <c r="AA85" s="23" t="s">
        <v>44</v>
      </c>
      <c r="AB85" s="24"/>
    </row>
    <row r="86" spans="1:28" s="1" customFormat="1" ht="12.75">
      <c r="A86" s="20" t="s">
        <v>256</v>
      </c>
      <c r="B86" s="21" t="s">
        <v>301</v>
      </c>
      <c r="C86" s="22" t="s">
        <v>302</v>
      </c>
      <c r="D86" s="22" t="s">
        <v>171</v>
      </c>
      <c r="E86" s="23" t="s">
        <v>172</v>
      </c>
      <c r="F86" s="23" t="s">
        <v>303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 t="s">
        <v>38</v>
      </c>
      <c r="V86" s="23" t="s">
        <v>39</v>
      </c>
      <c r="W86" s="23" t="s">
        <v>40</v>
      </c>
      <c r="X86" s="23" t="s">
        <v>41</v>
      </c>
      <c r="Y86" s="23" t="s">
        <v>42</v>
      </c>
      <c r="Z86" s="23" t="s">
        <v>43</v>
      </c>
      <c r="AA86" s="23" t="s">
        <v>44</v>
      </c>
      <c r="AB86" s="24"/>
    </row>
    <row r="87" spans="1:28" s="1" customFormat="1" ht="12.75">
      <c r="A87" s="20" t="s">
        <v>256</v>
      </c>
      <c r="B87" s="21" t="s">
        <v>304</v>
      </c>
      <c r="C87" s="22" t="s">
        <v>302</v>
      </c>
      <c r="D87" s="22" t="s">
        <v>171</v>
      </c>
      <c r="E87" s="23" t="s">
        <v>175</v>
      </c>
      <c r="F87" s="23" t="s">
        <v>305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 t="s">
        <v>38</v>
      </c>
      <c r="V87" s="23" t="s">
        <v>39</v>
      </c>
      <c r="W87" s="23" t="s">
        <v>40</v>
      </c>
      <c r="X87" s="23" t="s">
        <v>41</v>
      </c>
      <c r="Y87" s="23" t="s">
        <v>42</v>
      </c>
      <c r="Z87" s="23" t="s">
        <v>43</v>
      </c>
      <c r="AA87" s="23" t="s">
        <v>44</v>
      </c>
      <c r="AB87" s="24"/>
    </row>
    <row r="88" spans="1:28" s="1" customFormat="1" ht="12.75">
      <c r="A88" s="20" t="s">
        <v>256</v>
      </c>
      <c r="B88" s="21" t="s">
        <v>306</v>
      </c>
      <c r="C88" s="22" t="s">
        <v>302</v>
      </c>
      <c r="D88" s="22" t="s">
        <v>171</v>
      </c>
      <c r="E88" s="23" t="s">
        <v>66</v>
      </c>
      <c r="F88" s="23" t="s">
        <v>307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 t="s">
        <v>179</v>
      </c>
      <c r="V88" s="23"/>
      <c r="W88" s="23" t="s">
        <v>180</v>
      </c>
      <c r="X88" s="23" t="s">
        <v>41</v>
      </c>
      <c r="Y88" s="23" t="s">
        <v>181</v>
      </c>
      <c r="Z88" s="23" t="s">
        <v>43</v>
      </c>
      <c r="AA88" s="23" t="s">
        <v>44</v>
      </c>
      <c r="AB88" s="24"/>
    </row>
    <row r="89" spans="1:28" s="1" customFormat="1" ht="12.75">
      <c r="A89" s="20" t="s">
        <v>256</v>
      </c>
      <c r="B89" s="21" t="s">
        <v>308</v>
      </c>
      <c r="C89" s="22" t="s">
        <v>302</v>
      </c>
      <c r="D89" s="22" t="s">
        <v>171</v>
      </c>
      <c r="E89" s="23" t="s">
        <v>66</v>
      </c>
      <c r="F89" s="23" t="s">
        <v>309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 t="s">
        <v>179</v>
      </c>
      <c r="V89" s="23"/>
      <c r="W89" s="23" t="s">
        <v>180</v>
      </c>
      <c r="X89" s="23" t="s">
        <v>41</v>
      </c>
      <c r="Y89" s="23" t="s">
        <v>181</v>
      </c>
      <c r="Z89" s="23" t="s">
        <v>43</v>
      </c>
      <c r="AA89" s="23" t="s">
        <v>44</v>
      </c>
      <c r="AB89" s="24"/>
    </row>
    <row r="90" spans="1:28" s="1" customFormat="1" ht="12.75">
      <c r="A90" s="20" t="s">
        <v>256</v>
      </c>
      <c r="B90" s="21" t="s">
        <v>310</v>
      </c>
      <c r="C90" s="22" t="s">
        <v>302</v>
      </c>
      <c r="D90" s="22" t="s">
        <v>171</v>
      </c>
      <c r="E90" s="23" t="s">
        <v>185</v>
      </c>
      <c r="F90" s="23" t="s">
        <v>311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 t="s">
        <v>179</v>
      </c>
      <c r="V90" s="23"/>
      <c r="W90" s="23" t="s">
        <v>180</v>
      </c>
      <c r="X90" s="23" t="s">
        <v>41</v>
      </c>
      <c r="Y90" s="23" t="s">
        <v>181</v>
      </c>
      <c r="Z90" s="23" t="s">
        <v>43</v>
      </c>
      <c r="AA90" s="23" t="s">
        <v>44</v>
      </c>
      <c r="AB90" s="24"/>
    </row>
    <row r="91" spans="1:28" s="1" customFormat="1" ht="12.75">
      <c r="A91" s="20" t="s">
        <v>256</v>
      </c>
      <c r="B91" s="21" t="s">
        <v>312</v>
      </c>
      <c r="C91" s="22" t="s">
        <v>313</v>
      </c>
      <c r="D91" s="22" t="s">
        <v>171</v>
      </c>
      <c r="E91" s="23" t="s">
        <v>172</v>
      </c>
      <c r="F91" s="23" t="s">
        <v>314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 t="s">
        <v>38</v>
      </c>
      <c r="V91" s="23" t="s">
        <v>39</v>
      </c>
      <c r="W91" s="23" t="s">
        <v>40</v>
      </c>
      <c r="X91" s="23" t="s">
        <v>41</v>
      </c>
      <c r="Y91" s="23" t="s">
        <v>42</v>
      </c>
      <c r="Z91" s="23" t="s">
        <v>43</v>
      </c>
      <c r="AA91" s="23" t="s">
        <v>44</v>
      </c>
      <c r="AB91" s="24"/>
    </row>
    <row r="92" spans="1:28" s="1" customFormat="1" ht="12.75">
      <c r="A92" s="20" t="s">
        <v>256</v>
      </c>
      <c r="B92" s="21" t="s">
        <v>315</v>
      </c>
      <c r="C92" s="22" t="s">
        <v>313</v>
      </c>
      <c r="D92" s="22" t="s">
        <v>171</v>
      </c>
      <c r="E92" s="23" t="s">
        <v>175</v>
      </c>
      <c r="F92" s="23" t="s">
        <v>316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 t="s">
        <v>38</v>
      </c>
      <c r="V92" s="23" t="s">
        <v>39</v>
      </c>
      <c r="W92" s="23" t="s">
        <v>40</v>
      </c>
      <c r="X92" s="23" t="s">
        <v>41</v>
      </c>
      <c r="Y92" s="23" t="s">
        <v>42</v>
      </c>
      <c r="Z92" s="23" t="s">
        <v>43</v>
      </c>
      <c r="AA92" s="23" t="s">
        <v>44</v>
      </c>
      <c r="AB92" s="24"/>
    </row>
    <row r="93" spans="1:28" s="1" customFormat="1" ht="12.75">
      <c r="A93" s="20" t="s">
        <v>256</v>
      </c>
      <c r="B93" s="21" t="s">
        <v>317</v>
      </c>
      <c r="C93" s="22" t="s">
        <v>313</v>
      </c>
      <c r="D93" s="22" t="s">
        <v>171</v>
      </c>
      <c r="E93" s="23" t="s">
        <v>66</v>
      </c>
      <c r="F93" s="23" t="s">
        <v>318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 t="s">
        <v>179</v>
      </c>
      <c r="V93" s="23"/>
      <c r="W93" s="23" t="s">
        <v>180</v>
      </c>
      <c r="X93" s="23" t="s">
        <v>41</v>
      </c>
      <c r="Y93" s="23" t="s">
        <v>181</v>
      </c>
      <c r="Z93" s="23" t="s">
        <v>43</v>
      </c>
      <c r="AA93" s="23" t="s">
        <v>44</v>
      </c>
      <c r="AB93" s="24"/>
    </row>
    <row r="94" spans="1:28" s="1" customFormat="1" ht="12.75">
      <c r="A94" s="20" t="s">
        <v>256</v>
      </c>
      <c r="B94" s="21" t="s">
        <v>319</v>
      </c>
      <c r="C94" s="22" t="s">
        <v>313</v>
      </c>
      <c r="D94" s="22" t="s">
        <v>171</v>
      </c>
      <c r="E94" s="23" t="s">
        <v>66</v>
      </c>
      <c r="F94" s="23" t="s">
        <v>320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 t="s">
        <v>179</v>
      </c>
      <c r="V94" s="23"/>
      <c r="W94" s="23" t="s">
        <v>180</v>
      </c>
      <c r="X94" s="23" t="s">
        <v>41</v>
      </c>
      <c r="Y94" s="23" t="s">
        <v>181</v>
      </c>
      <c r="Z94" s="23" t="s">
        <v>43</v>
      </c>
      <c r="AA94" s="23" t="s">
        <v>44</v>
      </c>
      <c r="AB94" s="24"/>
    </row>
    <row r="95" spans="1:28" s="1" customFormat="1" ht="12.75">
      <c r="A95" s="20" t="s">
        <v>256</v>
      </c>
      <c r="B95" s="21" t="s">
        <v>321</v>
      </c>
      <c r="C95" s="22" t="s">
        <v>313</v>
      </c>
      <c r="D95" s="22" t="s">
        <v>171</v>
      </c>
      <c r="E95" s="23" t="s">
        <v>185</v>
      </c>
      <c r="F95" s="23" t="s">
        <v>322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 t="s">
        <v>179</v>
      </c>
      <c r="V95" s="23"/>
      <c r="W95" s="23" t="s">
        <v>180</v>
      </c>
      <c r="X95" s="23" t="s">
        <v>41</v>
      </c>
      <c r="Y95" s="23" t="s">
        <v>181</v>
      </c>
      <c r="Z95" s="23" t="s">
        <v>43</v>
      </c>
      <c r="AA95" s="23" t="s">
        <v>44</v>
      </c>
      <c r="AB95" s="24"/>
    </row>
    <row r="96" spans="1:28" s="1" customFormat="1" ht="12.75">
      <c r="A96" s="20" t="s">
        <v>256</v>
      </c>
      <c r="B96" s="21" t="s">
        <v>323</v>
      </c>
      <c r="C96" s="22" t="s">
        <v>324</v>
      </c>
      <c r="D96" s="22" t="s">
        <v>85</v>
      </c>
      <c r="E96" s="23" t="s">
        <v>200</v>
      </c>
      <c r="F96" s="23" t="s">
        <v>325</v>
      </c>
      <c r="G96" s="23" t="s">
        <v>88</v>
      </c>
      <c r="H96" s="23" t="s">
        <v>326</v>
      </c>
      <c r="I96" s="23" t="s">
        <v>203</v>
      </c>
      <c r="J96" s="23" t="s">
        <v>88</v>
      </c>
      <c r="K96" s="23" t="s">
        <v>326</v>
      </c>
      <c r="L96" s="23" t="s">
        <v>203</v>
      </c>
      <c r="M96" s="23"/>
      <c r="N96" s="23"/>
      <c r="O96" s="23"/>
      <c r="P96" s="23"/>
      <c r="Q96" s="23"/>
      <c r="R96" s="23"/>
      <c r="S96" s="23"/>
      <c r="T96" s="23"/>
      <c r="U96" s="23" t="s">
        <v>93</v>
      </c>
      <c r="V96" s="23" t="s">
        <v>39</v>
      </c>
      <c r="W96" s="23" t="s">
        <v>94</v>
      </c>
      <c r="X96" s="23" t="s">
        <v>41</v>
      </c>
      <c r="Y96" s="23" t="s">
        <v>95</v>
      </c>
      <c r="Z96" s="23" t="s">
        <v>43</v>
      </c>
      <c r="AA96" s="23" t="s">
        <v>44</v>
      </c>
      <c r="AB96" s="24"/>
    </row>
    <row r="97" spans="1:28" s="1" customFormat="1" ht="12.75">
      <c r="A97" s="20" t="s">
        <v>256</v>
      </c>
      <c r="B97" s="21" t="s">
        <v>327</v>
      </c>
      <c r="C97" s="22" t="s">
        <v>324</v>
      </c>
      <c r="D97" s="22" t="s">
        <v>41</v>
      </c>
      <c r="E97" s="23" t="s">
        <v>205</v>
      </c>
      <c r="F97" s="23" t="s">
        <v>325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 t="s">
        <v>55</v>
      </c>
      <c r="V97" s="23"/>
      <c r="W97" s="23" t="s">
        <v>56</v>
      </c>
      <c r="X97" s="23" t="s">
        <v>41</v>
      </c>
      <c r="Y97" s="23" t="s">
        <v>56</v>
      </c>
      <c r="Z97" s="23" t="s">
        <v>43</v>
      </c>
      <c r="AA97" s="23" t="s">
        <v>44</v>
      </c>
      <c r="AB97" s="24"/>
    </row>
    <row r="98" spans="1:28" s="1" customFormat="1" ht="12.75">
      <c r="A98" s="20" t="s">
        <v>256</v>
      </c>
      <c r="B98" s="21" t="s">
        <v>328</v>
      </c>
      <c r="C98" s="22" t="s">
        <v>324</v>
      </c>
      <c r="D98" s="22" t="s">
        <v>41</v>
      </c>
      <c r="E98" s="23" t="s">
        <v>231</v>
      </c>
      <c r="F98" s="23" t="s">
        <v>329</v>
      </c>
      <c r="G98" s="23"/>
      <c r="H98" s="23"/>
      <c r="I98" s="23"/>
      <c r="J98" s="23"/>
      <c r="K98" s="23"/>
      <c r="L98" s="23"/>
      <c r="M98" s="23" t="s">
        <v>330</v>
      </c>
      <c r="N98" s="23"/>
      <c r="O98" s="23"/>
      <c r="P98" s="23"/>
      <c r="Q98" s="23"/>
      <c r="R98" s="23"/>
      <c r="S98" s="23" t="s">
        <v>203</v>
      </c>
      <c r="T98" s="23"/>
      <c r="U98" s="23" t="s">
        <v>55</v>
      </c>
      <c r="V98" s="23"/>
      <c r="W98" s="23" t="s">
        <v>56</v>
      </c>
      <c r="X98" s="23" t="s">
        <v>41</v>
      </c>
      <c r="Y98" s="23" t="s">
        <v>56</v>
      </c>
      <c r="Z98" s="23" t="s">
        <v>43</v>
      </c>
      <c r="AA98" s="23" t="s">
        <v>44</v>
      </c>
      <c r="AB98" s="24"/>
    </row>
    <row r="99" spans="1:28" s="1" customFormat="1" ht="12.75">
      <c r="A99" s="20" t="s">
        <v>256</v>
      </c>
      <c r="B99" s="21" t="s">
        <v>331</v>
      </c>
      <c r="C99" s="22" t="s">
        <v>324</v>
      </c>
      <c r="D99" s="22" t="s">
        <v>41</v>
      </c>
      <c r="E99" s="23" t="s">
        <v>332</v>
      </c>
      <c r="F99" s="23" t="s">
        <v>333</v>
      </c>
      <c r="G99" s="23"/>
      <c r="H99" s="23"/>
      <c r="I99" s="23"/>
      <c r="J99" s="23"/>
      <c r="K99" s="23"/>
      <c r="L99" s="23"/>
      <c r="M99" s="23"/>
      <c r="N99" s="23"/>
      <c r="O99" s="23"/>
      <c r="P99" s="23" t="s">
        <v>334</v>
      </c>
      <c r="Q99" s="23"/>
      <c r="R99" s="23"/>
      <c r="S99" s="23" t="s">
        <v>203</v>
      </c>
      <c r="T99" s="23"/>
      <c r="U99" s="23" t="s">
        <v>55</v>
      </c>
      <c r="V99" s="23"/>
      <c r="W99" s="23" t="s">
        <v>56</v>
      </c>
      <c r="X99" s="23" t="s">
        <v>41</v>
      </c>
      <c r="Y99" s="23" t="s">
        <v>56</v>
      </c>
      <c r="Z99" s="23" t="s">
        <v>43</v>
      </c>
      <c r="AA99" s="23" t="s">
        <v>44</v>
      </c>
      <c r="AB99" s="24"/>
    </row>
    <row r="100" spans="1:28" s="1" customFormat="1" ht="12.75">
      <c r="A100" s="20" t="s">
        <v>256</v>
      </c>
      <c r="B100" s="21" t="s">
        <v>335</v>
      </c>
      <c r="C100" s="22" t="s">
        <v>336</v>
      </c>
      <c r="D100" s="22" t="s">
        <v>85</v>
      </c>
      <c r="E100" s="23" t="s">
        <v>200</v>
      </c>
      <c r="F100" s="23" t="s">
        <v>337</v>
      </c>
      <c r="G100" s="23" t="s">
        <v>88</v>
      </c>
      <c r="H100" s="23" t="s">
        <v>326</v>
      </c>
      <c r="I100" s="23" t="s">
        <v>203</v>
      </c>
      <c r="J100" s="23" t="s">
        <v>88</v>
      </c>
      <c r="K100" s="23" t="s">
        <v>326</v>
      </c>
      <c r="L100" s="23" t="s">
        <v>203</v>
      </c>
      <c r="M100" s="23"/>
      <c r="N100" s="23"/>
      <c r="O100" s="23"/>
      <c r="P100" s="23"/>
      <c r="Q100" s="23"/>
      <c r="R100" s="23"/>
      <c r="S100" s="23"/>
      <c r="T100" s="23"/>
      <c r="U100" s="23" t="s">
        <v>93</v>
      </c>
      <c r="V100" s="23" t="s">
        <v>39</v>
      </c>
      <c r="W100" s="23" t="s">
        <v>94</v>
      </c>
      <c r="X100" s="23" t="s">
        <v>41</v>
      </c>
      <c r="Y100" s="23" t="s">
        <v>95</v>
      </c>
      <c r="Z100" s="23" t="s">
        <v>43</v>
      </c>
      <c r="AA100" s="23" t="s">
        <v>44</v>
      </c>
      <c r="AB100" s="24"/>
    </row>
    <row r="101" spans="1:28" s="1" customFormat="1" ht="12.75">
      <c r="A101" s="20" t="s">
        <v>256</v>
      </c>
      <c r="B101" s="21" t="s">
        <v>338</v>
      </c>
      <c r="C101" s="22" t="s">
        <v>336</v>
      </c>
      <c r="D101" s="22" t="s">
        <v>41</v>
      </c>
      <c r="E101" s="23" t="s">
        <v>205</v>
      </c>
      <c r="F101" s="23" t="s">
        <v>337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 t="s">
        <v>55</v>
      </c>
      <c r="V101" s="23"/>
      <c r="W101" s="23" t="s">
        <v>56</v>
      </c>
      <c r="X101" s="23" t="s">
        <v>41</v>
      </c>
      <c r="Y101" s="23" t="s">
        <v>56</v>
      </c>
      <c r="Z101" s="23" t="s">
        <v>43</v>
      </c>
      <c r="AA101" s="23" t="s">
        <v>44</v>
      </c>
      <c r="AB101" s="24"/>
    </row>
    <row r="102" spans="1:28" s="1" customFormat="1" ht="12.75">
      <c r="A102" s="20" t="s">
        <v>256</v>
      </c>
      <c r="B102" s="21" t="s">
        <v>339</v>
      </c>
      <c r="C102" s="22" t="s">
        <v>336</v>
      </c>
      <c r="D102" s="22" t="s">
        <v>41</v>
      </c>
      <c r="E102" s="23" t="s">
        <v>231</v>
      </c>
      <c r="F102" s="23" t="s">
        <v>340</v>
      </c>
      <c r="G102" s="23"/>
      <c r="H102" s="23"/>
      <c r="I102" s="23"/>
      <c r="J102" s="23"/>
      <c r="K102" s="23"/>
      <c r="L102" s="23"/>
      <c r="M102" s="23" t="s">
        <v>330</v>
      </c>
      <c r="N102" s="23"/>
      <c r="O102" s="23"/>
      <c r="P102" s="23"/>
      <c r="Q102" s="23"/>
      <c r="R102" s="23"/>
      <c r="S102" s="23" t="s">
        <v>203</v>
      </c>
      <c r="T102" s="23"/>
      <c r="U102" s="23" t="s">
        <v>55</v>
      </c>
      <c r="V102" s="23"/>
      <c r="W102" s="23" t="s">
        <v>56</v>
      </c>
      <c r="X102" s="23" t="s">
        <v>41</v>
      </c>
      <c r="Y102" s="23" t="s">
        <v>56</v>
      </c>
      <c r="Z102" s="23" t="s">
        <v>43</v>
      </c>
      <c r="AA102" s="23" t="s">
        <v>44</v>
      </c>
      <c r="AB102" s="24"/>
    </row>
    <row r="103" spans="1:28" s="1" customFormat="1" ht="12.75">
      <c r="A103" s="20" t="s">
        <v>256</v>
      </c>
      <c r="B103" s="21" t="s">
        <v>341</v>
      </c>
      <c r="C103" s="22" t="s">
        <v>336</v>
      </c>
      <c r="D103" s="22" t="s">
        <v>41</v>
      </c>
      <c r="E103" s="23" t="s">
        <v>332</v>
      </c>
      <c r="F103" s="23" t="s">
        <v>342</v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 t="s">
        <v>334</v>
      </c>
      <c r="Q103" s="23"/>
      <c r="R103" s="23"/>
      <c r="S103" s="23" t="s">
        <v>203</v>
      </c>
      <c r="T103" s="23"/>
      <c r="U103" s="23" t="s">
        <v>55</v>
      </c>
      <c r="V103" s="23"/>
      <c r="W103" s="23" t="s">
        <v>56</v>
      </c>
      <c r="X103" s="23" t="s">
        <v>41</v>
      </c>
      <c r="Y103" s="23" t="s">
        <v>56</v>
      </c>
      <c r="Z103" s="23" t="s">
        <v>43</v>
      </c>
      <c r="AA103" s="23" t="s">
        <v>44</v>
      </c>
      <c r="AB103" s="24"/>
    </row>
    <row r="104" spans="1:28" s="1" customFormat="1" ht="12.75">
      <c r="A104" s="20" t="s">
        <v>256</v>
      </c>
      <c r="B104" s="21" t="s">
        <v>343</v>
      </c>
      <c r="C104" s="22" t="s">
        <v>344</v>
      </c>
      <c r="D104" s="22" t="s">
        <v>85</v>
      </c>
      <c r="E104" s="23" t="s">
        <v>208</v>
      </c>
      <c r="F104" s="23" t="s">
        <v>345</v>
      </c>
      <c r="G104" s="23" t="s">
        <v>88</v>
      </c>
      <c r="H104" s="23" t="s">
        <v>346</v>
      </c>
      <c r="I104" s="23" t="s">
        <v>211</v>
      </c>
      <c r="J104" s="23" t="s">
        <v>88</v>
      </c>
      <c r="K104" s="23" t="s">
        <v>346</v>
      </c>
      <c r="L104" s="23" t="s">
        <v>211</v>
      </c>
      <c r="M104" s="23"/>
      <c r="N104" s="23"/>
      <c r="O104" s="23"/>
      <c r="P104" s="23"/>
      <c r="Q104" s="23"/>
      <c r="R104" s="23"/>
      <c r="S104" s="23"/>
      <c r="T104" s="23"/>
      <c r="U104" s="23" t="s">
        <v>93</v>
      </c>
      <c r="V104" s="23" t="s">
        <v>39</v>
      </c>
      <c r="W104" s="23" t="s">
        <v>94</v>
      </c>
      <c r="X104" s="23" t="s">
        <v>41</v>
      </c>
      <c r="Y104" s="23" t="s">
        <v>95</v>
      </c>
      <c r="Z104" s="23" t="s">
        <v>43</v>
      </c>
      <c r="AA104" s="23" t="s">
        <v>44</v>
      </c>
      <c r="AB104" s="24"/>
    </row>
    <row r="105" spans="1:28" s="1" customFormat="1" ht="12.75">
      <c r="A105" s="20" t="s">
        <v>256</v>
      </c>
      <c r="B105" s="21" t="s">
        <v>347</v>
      </c>
      <c r="C105" s="22" t="s">
        <v>344</v>
      </c>
      <c r="D105" s="22" t="s">
        <v>41</v>
      </c>
      <c r="E105" s="23" t="s">
        <v>214</v>
      </c>
      <c r="F105" s="23" t="s">
        <v>345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 t="s">
        <v>55</v>
      </c>
      <c r="V105" s="23"/>
      <c r="W105" s="23" t="s">
        <v>56</v>
      </c>
      <c r="X105" s="23" t="s">
        <v>41</v>
      </c>
      <c r="Y105" s="23" t="s">
        <v>56</v>
      </c>
      <c r="Z105" s="23" t="s">
        <v>43</v>
      </c>
      <c r="AA105" s="23" t="s">
        <v>44</v>
      </c>
      <c r="AB105" s="24"/>
    </row>
    <row r="106" spans="1:28" s="1" customFormat="1" ht="12.75">
      <c r="A106" s="20" t="s">
        <v>256</v>
      </c>
      <c r="B106" s="21" t="s">
        <v>348</v>
      </c>
      <c r="C106" s="22" t="s">
        <v>344</v>
      </c>
      <c r="D106" s="22" t="s">
        <v>41</v>
      </c>
      <c r="E106" s="23" t="s">
        <v>216</v>
      </c>
      <c r="F106" s="23" t="s">
        <v>349</v>
      </c>
      <c r="G106" s="23"/>
      <c r="H106" s="23"/>
      <c r="I106" s="23"/>
      <c r="J106" s="23"/>
      <c r="K106" s="23"/>
      <c r="L106" s="23"/>
      <c r="M106" s="23" t="s">
        <v>202</v>
      </c>
      <c r="N106" s="23"/>
      <c r="O106" s="23"/>
      <c r="P106" s="23"/>
      <c r="Q106" s="23"/>
      <c r="R106" s="23"/>
      <c r="S106" s="23" t="s">
        <v>211</v>
      </c>
      <c r="T106" s="23"/>
      <c r="U106" s="23" t="s">
        <v>55</v>
      </c>
      <c r="V106" s="23"/>
      <c r="W106" s="23" t="s">
        <v>56</v>
      </c>
      <c r="X106" s="23" t="s">
        <v>41</v>
      </c>
      <c r="Y106" s="23" t="s">
        <v>56</v>
      </c>
      <c r="Z106" s="23" t="s">
        <v>43</v>
      </c>
      <c r="AA106" s="23" t="s">
        <v>44</v>
      </c>
      <c r="AB106" s="24"/>
    </row>
    <row r="107" spans="1:28" s="1" customFormat="1" ht="12.75">
      <c r="A107" s="20" t="s">
        <v>256</v>
      </c>
      <c r="B107" s="21" t="s">
        <v>350</v>
      </c>
      <c r="C107" s="22" t="s">
        <v>351</v>
      </c>
      <c r="D107" s="22" t="s">
        <v>85</v>
      </c>
      <c r="E107" s="23" t="s">
        <v>208</v>
      </c>
      <c r="F107" s="23" t="s">
        <v>352</v>
      </c>
      <c r="G107" s="23" t="s">
        <v>88</v>
      </c>
      <c r="H107" s="23" t="s">
        <v>346</v>
      </c>
      <c r="I107" s="23" t="s">
        <v>211</v>
      </c>
      <c r="J107" s="23" t="s">
        <v>88</v>
      </c>
      <c r="K107" s="23" t="s">
        <v>346</v>
      </c>
      <c r="L107" s="23" t="s">
        <v>211</v>
      </c>
      <c r="M107" s="23"/>
      <c r="N107" s="23"/>
      <c r="O107" s="23"/>
      <c r="P107" s="23"/>
      <c r="Q107" s="23"/>
      <c r="R107" s="23"/>
      <c r="S107" s="23"/>
      <c r="T107" s="23"/>
      <c r="U107" s="23" t="s">
        <v>93</v>
      </c>
      <c r="V107" s="23" t="s">
        <v>39</v>
      </c>
      <c r="W107" s="23" t="s">
        <v>94</v>
      </c>
      <c r="X107" s="23" t="s">
        <v>41</v>
      </c>
      <c r="Y107" s="23" t="s">
        <v>95</v>
      </c>
      <c r="Z107" s="23" t="s">
        <v>43</v>
      </c>
      <c r="AA107" s="23" t="s">
        <v>44</v>
      </c>
      <c r="AB107" s="24"/>
    </row>
    <row r="108" spans="1:28" s="1" customFormat="1" ht="12.75">
      <c r="A108" s="20" t="s">
        <v>256</v>
      </c>
      <c r="B108" s="21" t="s">
        <v>353</v>
      </c>
      <c r="C108" s="22" t="s">
        <v>351</v>
      </c>
      <c r="D108" s="22" t="s">
        <v>41</v>
      </c>
      <c r="E108" s="23" t="s">
        <v>214</v>
      </c>
      <c r="F108" s="23" t="s">
        <v>352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 t="s">
        <v>55</v>
      </c>
      <c r="V108" s="23"/>
      <c r="W108" s="23" t="s">
        <v>56</v>
      </c>
      <c r="X108" s="23" t="s">
        <v>41</v>
      </c>
      <c r="Y108" s="23" t="s">
        <v>56</v>
      </c>
      <c r="Z108" s="23" t="s">
        <v>43</v>
      </c>
      <c r="AA108" s="23" t="s">
        <v>44</v>
      </c>
      <c r="AB108" s="24"/>
    </row>
    <row r="109" spans="1:28" s="1" customFormat="1" ht="12.75">
      <c r="A109" s="20" t="s">
        <v>256</v>
      </c>
      <c r="B109" s="21" t="s">
        <v>354</v>
      </c>
      <c r="C109" s="22" t="s">
        <v>351</v>
      </c>
      <c r="D109" s="22" t="s">
        <v>41</v>
      </c>
      <c r="E109" s="23" t="s">
        <v>216</v>
      </c>
      <c r="F109" s="23" t="s">
        <v>355</v>
      </c>
      <c r="G109" s="23"/>
      <c r="H109" s="23"/>
      <c r="I109" s="23"/>
      <c r="J109" s="23"/>
      <c r="K109" s="23"/>
      <c r="L109" s="23"/>
      <c r="M109" s="23" t="s">
        <v>202</v>
      </c>
      <c r="N109" s="23"/>
      <c r="O109" s="23"/>
      <c r="P109" s="23"/>
      <c r="Q109" s="23"/>
      <c r="R109" s="23"/>
      <c r="S109" s="23" t="s">
        <v>211</v>
      </c>
      <c r="T109" s="23"/>
      <c r="U109" s="23" t="s">
        <v>55</v>
      </c>
      <c r="V109" s="23"/>
      <c r="W109" s="23" t="s">
        <v>56</v>
      </c>
      <c r="X109" s="23" t="s">
        <v>41</v>
      </c>
      <c r="Y109" s="23" t="s">
        <v>56</v>
      </c>
      <c r="Z109" s="23" t="s">
        <v>43</v>
      </c>
      <c r="AA109" s="23" t="s">
        <v>44</v>
      </c>
      <c r="AB109" s="24"/>
    </row>
    <row r="110" spans="1:28" s="1" customFormat="1" ht="12.75">
      <c r="A110" s="20" t="s">
        <v>256</v>
      </c>
      <c r="B110" s="21" t="s">
        <v>356</v>
      </c>
      <c r="C110" s="22" t="s">
        <v>357</v>
      </c>
      <c r="D110" s="22" t="s">
        <v>85</v>
      </c>
      <c r="E110" s="23" t="s">
        <v>200</v>
      </c>
      <c r="F110" s="23" t="s">
        <v>358</v>
      </c>
      <c r="G110" s="23" t="s">
        <v>88</v>
      </c>
      <c r="H110" s="23" t="s">
        <v>326</v>
      </c>
      <c r="I110" s="23" t="s">
        <v>203</v>
      </c>
      <c r="J110" s="23" t="s">
        <v>88</v>
      </c>
      <c r="K110" s="23" t="s">
        <v>326</v>
      </c>
      <c r="L110" s="23" t="s">
        <v>203</v>
      </c>
      <c r="M110" s="23"/>
      <c r="N110" s="23"/>
      <c r="O110" s="23"/>
      <c r="P110" s="23"/>
      <c r="Q110" s="23"/>
      <c r="R110" s="23"/>
      <c r="S110" s="23"/>
      <c r="T110" s="23"/>
      <c r="U110" s="23" t="s">
        <v>93</v>
      </c>
      <c r="V110" s="23" t="s">
        <v>39</v>
      </c>
      <c r="W110" s="23" t="s">
        <v>94</v>
      </c>
      <c r="X110" s="23" t="s">
        <v>41</v>
      </c>
      <c r="Y110" s="23" t="s">
        <v>95</v>
      </c>
      <c r="Z110" s="23" t="s">
        <v>43</v>
      </c>
      <c r="AA110" s="23" t="s">
        <v>44</v>
      </c>
      <c r="AB110" s="24"/>
    </row>
    <row r="111" spans="1:28" s="1" customFormat="1" ht="12.75">
      <c r="A111" s="20" t="s">
        <v>256</v>
      </c>
      <c r="B111" s="21" t="s">
        <v>359</v>
      </c>
      <c r="C111" s="22" t="s">
        <v>357</v>
      </c>
      <c r="D111" s="22" t="s">
        <v>41</v>
      </c>
      <c r="E111" s="23" t="s">
        <v>205</v>
      </c>
      <c r="F111" s="23" t="s">
        <v>358</v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 t="s">
        <v>55</v>
      </c>
      <c r="V111" s="23"/>
      <c r="W111" s="23" t="s">
        <v>56</v>
      </c>
      <c r="X111" s="23" t="s">
        <v>41</v>
      </c>
      <c r="Y111" s="23" t="s">
        <v>56</v>
      </c>
      <c r="Z111" s="23" t="s">
        <v>43</v>
      </c>
      <c r="AA111" s="23" t="s">
        <v>44</v>
      </c>
      <c r="AB111" s="24"/>
    </row>
    <row r="112" spans="1:28" s="1" customFormat="1" ht="12.75">
      <c r="A112" s="20" t="s">
        <v>256</v>
      </c>
      <c r="B112" s="21" t="s">
        <v>360</v>
      </c>
      <c r="C112" s="22" t="s">
        <v>357</v>
      </c>
      <c r="D112" s="22" t="s">
        <v>35</v>
      </c>
      <c r="E112" s="23" t="s">
        <v>107</v>
      </c>
      <c r="F112" s="23" t="s">
        <v>361</v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 t="s">
        <v>108</v>
      </c>
      <c r="V112" s="23" t="s">
        <v>39</v>
      </c>
      <c r="W112" s="23" t="s">
        <v>94</v>
      </c>
      <c r="X112" s="23" t="s">
        <v>41</v>
      </c>
      <c r="Y112" s="23" t="s">
        <v>95</v>
      </c>
      <c r="Z112" s="23" t="s">
        <v>43</v>
      </c>
      <c r="AA112" s="23" t="s">
        <v>44</v>
      </c>
      <c r="AB112" s="24"/>
    </row>
    <row r="113" spans="1:28" s="1" customFormat="1" ht="12.75">
      <c r="A113" s="20" t="s">
        <v>256</v>
      </c>
      <c r="B113" s="21" t="s">
        <v>362</v>
      </c>
      <c r="C113" s="22" t="s">
        <v>357</v>
      </c>
      <c r="D113" s="22" t="s">
        <v>41</v>
      </c>
      <c r="E113" s="23" t="s">
        <v>231</v>
      </c>
      <c r="F113" s="23" t="s">
        <v>363</v>
      </c>
      <c r="G113" s="23"/>
      <c r="H113" s="23"/>
      <c r="I113" s="23"/>
      <c r="J113" s="23"/>
      <c r="K113" s="23"/>
      <c r="L113" s="23"/>
      <c r="M113" s="23" t="s">
        <v>364</v>
      </c>
      <c r="N113" s="23"/>
      <c r="O113" s="23"/>
      <c r="P113" s="23"/>
      <c r="Q113" s="23"/>
      <c r="R113" s="23"/>
      <c r="S113" s="23" t="s">
        <v>203</v>
      </c>
      <c r="T113" s="23"/>
      <c r="U113" s="23" t="s">
        <v>55</v>
      </c>
      <c r="V113" s="23"/>
      <c r="W113" s="23" t="s">
        <v>56</v>
      </c>
      <c r="X113" s="23" t="s">
        <v>41</v>
      </c>
      <c r="Y113" s="23" t="s">
        <v>56</v>
      </c>
      <c r="Z113" s="23" t="s">
        <v>43</v>
      </c>
      <c r="AA113" s="23" t="s">
        <v>44</v>
      </c>
      <c r="AB113" s="24"/>
    </row>
    <row r="114" spans="1:28" s="1" customFormat="1" ht="12.75">
      <c r="A114" s="20" t="s">
        <v>256</v>
      </c>
      <c r="B114" s="21" t="s">
        <v>365</v>
      </c>
      <c r="C114" s="22" t="s">
        <v>357</v>
      </c>
      <c r="D114" s="22" t="s">
        <v>41</v>
      </c>
      <c r="E114" s="23" t="s">
        <v>366</v>
      </c>
      <c r="F114" s="23" t="s">
        <v>367</v>
      </c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 t="s">
        <v>368</v>
      </c>
      <c r="U114" s="23" t="s">
        <v>55</v>
      </c>
      <c r="V114" s="23"/>
      <c r="W114" s="23" t="s">
        <v>56</v>
      </c>
      <c r="X114" s="23" t="s">
        <v>41</v>
      </c>
      <c r="Y114" s="23" t="s">
        <v>56</v>
      </c>
      <c r="Z114" s="23" t="s">
        <v>43</v>
      </c>
      <c r="AA114" s="23" t="s">
        <v>44</v>
      </c>
      <c r="AB114" s="24"/>
    </row>
    <row r="115" spans="1:28" s="1" customFormat="1" ht="12.75">
      <c r="A115" s="20" t="s">
        <v>256</v>
      </c>
      <c r="B115" s="21" t="s">
        <v>369</v>
      </c>
      <c r="C115" s="22" t="s">
        <v>370</v>
      </c>
      <c r="D115" s="22" t="s">
        <v>41</v>
      </c>
      <c r="E115" s="23" t="s">
        <v>205</v>
      </c>
      <c r="F115" s="23" t="s">
        <v>371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 t="s">
        <v>55</v>
      </c>
      <c r="V115" s="23"/>
      <c r="W115" s="23" t="s">
        <v>56</v>
      </c>
      <c r="X115" s="23" t="s">
        <v>41</v>
      </c>
      <c r="Y115" s="23" t="s">
        <v>56</v>
      </c>
      <c r="Z115" s="23" t="s">
        <v>43</v>
      </c>
      <c r="AA115" s="23" t="s">
        <v>44</v>
      </c>
      <c r="AB115" s="24"/>
    </row>
    <row r="116" spans="1:28" s="1" customFormat="1" ht="12.75">
      <c r="A116" s="20" t="s">
        <v>256</v>
      </c>
      <c r="B116" s="21" t="s">
        <v>372</v>
      </c>
      <c r="C116" s="22" t="s">
        <v>370</v>
      </c>
      <c r="D116" s="22" t="s">
        <v>85</v>
      </c>
      <c r="E116" s="23" t="s">
        <v>200</v>
      </c>
      <c r="F116" s="23" t="s">
        <v>371</v>
      </c>
      <c r="G116" s="23" t="s">
        <v>88</v>
      </c>
      <c r="H116" s="23" t="s">
        <v>373</v>
      </c>
      <c r="I116" s="23" t="s">
        <v>203</v>
      </c>
      <c r="J116" s="23" t="s">
        <v>88</v>
      </c>
      <c r="K116" s="23" t="s">
        <v>373</v>
      </c>
      <c r="L116" s="23" t="s">
        <v>203</v>
      </c>
      <c r="M116" s="23"/>
      <c r="N116" s="23"/>
      <c r="O116" s="23"/>
      <c r="P116" s="23"/>
      <c r="Q116" s="23"/>
      <c r="R116" s="23"/>
      <c r="S116" s="23"/>
      <c r="T116" s="23" t="s">
        <v>374</v>
      </c>
      <c r="U116" s="23" t="s">
        <v>93</v>
      </c>
      <c r="V116" s="23" t="s">
        <v>39</v>
      </c>
      <c r="W116" s="23" t="s">
        <v>94</v>
      </c>
      <c r="X116" s="23" t="s">
        <v>41</v>
      </c>
      <c r="Y116" s="23" t="s">
        <v>95</v>
      </c>
      <c r="Z116" s="23" t="s">
        <v>43</v>
      </c>
      <c r="AA116" s="23" t="s">
        <v>44</v>
      </c>
      <c r="AB116" s="24"/>
    </row>
    <row r="117" spans="1:28" s="1" customFormat="1" ht="12.75">
      <c r="A117" s="20" t="s">
        <v>256</v>
      </c>
      <c r="B117" s="21" t="s">
        <v>375</v>
      </c>
      <c r="C117" s="22" t="s">
        <v>370</v>
      </c>
      <c r="D117" s="22" t="s">
        <v>41</v>
      </c>
      <c r="E117" s="23" t="s">
        <v>231</v>
      </c>
      <c r="F117" s="23" t="s">
        <v>376</v>
      </c>
      <c r="G117" s="23"/>
      <c r="H117" s="23"/>
      <c r="I117" s="23"/>
      <c r="J117" s="23"/>
      <c r="K117" s="23"/>
      <c r="L117" s="23"/>
      <c r="M117" s="23" t="s">
        <v>377</v>
      </c>
      <c r="N117" s="23"/>
      <c r="O117" s="23"/>
      <c r="P117" s="23"/>
      <c r="Q117" s="23"/>
      <c r="R117" s="23"/>
      <c r="S117" s="23" t="s">
        <v>203</v>
      </c>
      <c r="T117" s="23"/>
      <c r="U117" s="23" t="s">
        <v>55</v>
      </c>
      <c r="V117" s="23"/>
      <c r="W117" s="23" t="s">
        <v>56</v>
      </c>
      <c r="X117" s="23" t="s">
        <v>41</v>
      </c>
      <c r="Y117" s="23" t="s">
        <v>56</v>
      </c>
      <c r="Z117" s="23" t="s">
        <v>43</v>
      </c>
      <c r="AA117" s="23" t="s">
        <v>44</v>
      </c>
      <c r="AB117" s="24"/>
    </row>
    <row r="118" spans="1:28" s="1" customFormat="1" ht="12.75">
      <c r="A118" s="20" t="s">
        <v>256</v>
      </c>
      <c r="B118" s="21" t="s">
        <v>378</v>
      </c>
      <c r="C118" s="22" t="s">
        <v>370</v>
      </c>
      <c r="D118" s="22" t="s">
        <v>41</v>
      </c>
      <c r="E118" s="23" t="s">
        <v>332</v>
      </c>
      <c r="F118" s="23" t="s">
        <v>379</v>
      </c>
      <c r="G118" s="23"/>
      <c r="H118" s="23"/>
      <c r="I118" s="23"/>
      <c r="J118" s="23"/>
      <c r="K118" s="23"/>
      <c r="L118" s="23"/>
      <c r="M118" s="23"/>
      <c r="N118" s="23"/>
      <c r="O118" s="23"/>
      <c r="P118" s="23" t="s">
        <v>380</v>
      </c>
      <c r="Q118" s="23"/>
      <c r="R118" s="23"/>
      <c r="S118" s="23" t="s">
        <v>203</v>
      </c>
      <c r="T118" s="23"/>
      <c r="U118" s="23" t="s">
        <v>55</v>
      </c>
      <c r="V118" s="23"/>
      <c r="W118" s="23" t="s">
        <v>56</v>
      </c>
      <c r="X118" s="23" t="s">
        <v>41</v>
      </c>
      <c r="Y118" s="23" t="s">
        <v>56</v>
      </c>
      <c r="Z118" s="23" t="s">
        <v>43</v>
      </c>
      <c r="AA118" s="23" t="s">
        <v>44</v>
      </c>
      <c r="AB118" s="24"/>
    </row>
    <row r="119" spans="1:28" s="1" customFormat="1" ht="12.75">
      <c r="A119" s="20" t="s">
        <v>256</v>
      </c>
      <c r="B119" s="21" t="s">
        <v>381</v>
      </c>
      <c r="C119" s="22" t="s">
        <v>382</v>
      </c>
      <c r="D119" s="22" t="s">
        <v>41</v>
      </c>
      <c r="E119" s="23" t="s">
        <v>205</v>
      </c>
      <c r="F119" s="23" t="s">
        <v>383</v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 t="s">
        <v>55</v>
      </c>
      <c r="V119" s="23"/>
      <c r="W119" s="23" t="s">
        <v>56</v>
      </c>
      <c r="X119" s="23" t="s">
        <v>41</v>
      </c>
      <c r="Y119" s="23" t="s">
        <v>56</v>
      </c>
      <c r="Z119" s="23" t="s">
        <v>43</v>
      </c>
      <c r="AA119" s="23" t="s">
        <v>44</v>
      </c>
      <c r="AB119" s="24"/>
    </row>
    <row r="120" spans="1:28" s="1" customFormat="1" ht="12.75">
      <c r="A120" s="20" t="s">
        <v>256</v>
      </c>
      <c r="B120" s="21" t="s">
        <v>384</v>
      </c>
      <c r="C120" s="22" t="s">
        <v>382</v>
      </c>
      <c r="D120" s="22" t="s">
        <v>85</v>
      </c>
      <c r="E120" s="23" t="s">
        <v>200</v>
      </c>
      <c r="F120" s="23" t="s">
        <v>383</v>
      </c>
      <c r="G120" s="23" t="s">
        <v>88</v>
      </c>
      <c r="H120" s="23" t="s">
        <v>373</v>
      </c>
      <c r="I120" s="23" t="s">
        <v>203</v>
      </c>
      <c r="J120" s="23" t="s">
        <v>88</v>
      </c>
      <c r="K120" s="23" t="s">
        <v>373</v>
      </c>
      <c r="L120" s="23" t="s">
        <v>203</v>
      </c>
      <c r="M120" s="23"/>
      <c r="N120" s="23"/>
      <c r="O120" s="23"/>
      <c r="P120" s="23"/>
      <c r="Q120" s="23"/>
      <c r="R120" s="23"/>
      <c r="S120" s="23"/>
      <c r="T120" s="23" t="s">
        <v>385</v>
      </c>
      <c r="U120" s="23" t="s">
        <v>93</v>
      </c>
      <c r="V120" s="23" t="s">
        <v>39</v>
      </c>
      <c r="W120" s="23" t="s">
        <v>94</v>
      </c>
      <c r="X120" s="23" t="s">
        <v>41</v>
      </c>
      <c r="Y120" s="23" t="s">
        <v>95</v>
      </c>
      <c r="Z120" s="23" t="s">
        <v>43</v>
      </c>
      <c r="AA120" s="23" t="s">
        <v>44</v>
      </c>
      <c r="AB120" s="24"/>
    </row>
    <row r="121" spans="1:28" s="1" customFormat="1" ht="12.75">
      <c r="A121" s="20" t="s">
        <v>256</v>
      </c>
      <c r="B121" s="21" t="s">
        <v>386</v>
      </c>
      <c r="C121" s="22" t="s">
        <v>382</v>
      </c>
      <c r="D121" s="22" t="s">
        <v>41</v>
      </c>
      <c r="E121" s="23" t="s">
        <v>231</v>
      </c>
      <c r="F121" s="23" t="s">
        <v>387</v>
      </c>
      <c r="G121" s="23"/>
      <c r="H121" s="23"/>
      <c r="I121" s="23"/>
      <c r="J121" s="23"/>
      <c r="K121" s="23"/>
      <c r="L121" s="23"/>
      <c r="M121" s="23" t="s">
        <v>377</v>
      </c>
      <c r="N121" s="23"/>
      <c r="O121" s="23"/>
      <c r="P121" s="23"/>
      <c r="Q121" s="23"/>
      <c r="R121" s="23"/>
      <c r="S121" s="23" t="s">
        <v>203</v>
      </c>
      <c r="T121" s="23"/>
      <c r="U121" s="23" t="s">
        <v>55</v>
      </c>
      <c r="V121" s="23"/>
      <c r="W121" s="23" t="s">
        <v>56</v>
      </c>
      <c r="X121" s="23" t="s">
        <v>41</v>
      </c>
      <c r="Y121" s="23" t="s">
        <v>56</v>
      </c>
      <c r="Z121" s="23" t="s">
        <v>43</v>
      </c>
      <c r="AA121" s="23" t="s">
        <v>44</v>
      </c>
      <c r="AB121" s="24"/>
    </row>
    <row r="122" spans="1:28" s="1" customFormat="1" ht="12.75">
      <c r="A122" s="20" t="s">
        <v>256</v>
      </c>
      <c r="B122" s="21" t="s">
        <v>388</v>
      </c>
      <c r="C122" s="22" t="s">
        <v>382</v>
      </c>
      <c r="D122" s="22" t="s">
        <v>41</v>
      </c>
      <c r="E122" s="23" t="s">
        <v>332</v>
      </c>
      <c r="F122" s="23" t="s">
        <v>389</v>
      </c>
      <c r="G122" s="23"/>
      <c r="H122" s="23"/>
      <c r="I122" s="23"/>
      <c r="J122" s="23"/>
      <c r="K122" s="23"/>
      <c r="L122" s="23"/>
      <c r="M122" s="23"/>
      <c r="N122" s="23"/>
      <c r="O122" s="23"/>
      <c r="P122" s="23" t="s">
        <v>380</v>
      </c>
      <c r="Q122" s="23"/>
      <c r="R122" s="23"/>
      <c r="S122" s="23" t="s">
        <v>203</v>
      </c>
      <c r="T122" s="23"/>
      <c r="U122" s="23" t="s">
        <v>55</v>
      </c>
      <c r="V122" s="23"/>
      <c r="W122" s="23" t="s">
        <v>56</v>
      </c>
      <c r="X122" s="23" t="s">
        <v>41</v>
      </c>
      <c r="Y122" s="23" t="s">
        <v>56</v>
      </c>
      <c r="Z122" s="23" t="s">
        <v>43</v>
      </c>
      <c r="AA122" s="23" t="s">
        <v>44</v>
      </c>
      <c r="AB122" s="24"/>
    </row>
    <row r="123" spans="1:28" s="1" customFormat="1" ht="12.75">
      <c r="A123" s="20" t="s">
        <v>256</v>
      </c>
      <c r="B123" s="21" t="s">
        <v>390</v>
      </c>
      <c r="C123" s="22" t="s">
        <v>391</v>
      </c>
      <c r="D123" s="22" t="s">
        <v>41</v>
      </c>
      <c r="E123" s="23" t="s">
        <v>205</v>
      </c>
      <c r="F123" s="23" t="s">
        <v>371</v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 t="s">
        <v>55</v>
      </c>
      <c r="V123" s="23"/>
      <c r="W123" s="23" t="s">
        <v>56</v>
      </c>
      <c r="X123" s="23" t="s">
        <v>41</v>
      </c>
      <c r="Y123" s="23" t="s">
        <v>56</v>
      </c>
      <c r="Z123" s="23" t="s">
        <v>43</v>
      </c>
      <c r="AA123" s="23" t="s">
        <v>44</v>
      </c>
      <c r="AB123" s="24"/>
    </row>
    <row r="124" spans="1:28" s="1" customFormat="1" ht="12.75">
      <c r="A124" s="20" t="s">
        <v>256</v>
      </c>
      <c r="B124" s="21" t="s">
        <v>392</v>
      </c>
      <c r="C124" s="22" t="s">
        <v>391</v>
      </c>
      <c r="D124" s="22" t="s">
        <v>85</v>
      </c>
      <c r="E124" s="23" t="s">
        <v>200</v>
      </c>
      <c r="F124" s="23" t="s">
        <v>371</v>
      </c>
      <c r="G124" s="23" t="s">
        <v>88</v>
      </c>
      <c r="H124" s="23" t="s">
        <v>373</v>
      </c>
      <c r="I124" s="23" t="s">
        <v>203</v>
      </c>
      <c r="J124" s="23" t="s">
        <v>88</v>
      </c>
      <c r="K124" s="23" t="s">
        <v>373</v>
      </c>
      <c r="L124" s="23" t="s">
        <v>203</v>
      </c>
      <c r="M124" s="23"/>
      <c r="N124" s="23"/>
      <c r="O124" s="23"/>
      <c r="P124" s="23"/>
      <c r="Q124" s="23"/>
      <c r="R124" s="23"/>
      <c r="S124" s="23"/>
      <c r="T124" s="23" t="s">
        <v>374</v>
      </c>
      <c r="U124" s="23" t="s">
        <v>93</v>
      </c>
      <c r="V124" s="23" t="s">
        <v>39</v>
      </c>
      <c r="W124" s="23" t="s">
        <v>94</v>
      </c>
      <c r="X124" s="23" t="s">
        <v>41</v>
      </c>
      <c r="Y124" s="23" t="s">
        <v>95</v>
      </c>
      <c r="Z124" s="23" t="s">
        <v>43</v>
      </c>
      <c r="AA124" s="23" t="s">
        <v>44</v>
      </c>
      <c r="AB124" s="24"/>
    </row>
    <row r="125" spans="1:28" s="1" customFormat="1" ht="12.75">
      <c r="A125" s="20" t="s">
        <v>256</v>
      </c>
      <c r="B125" s="21" t="s">
        <v>393</v>
      </c>
      <c r="C125" s="22" t="s">
        <v>391</v>
      </c>
      <c r="D125" s="22" t="s">
        <v>41</v>
      </c>
      <c r="E125" s="23" t="s">
        <v>231</v>
      </c>
      <c r="F125" s="23" t="s">
        <v>376</v>
      </c>
      <c r="G125" s="23"/>
      <c r="H125" s="23"/>
      <c r="I125" s="23"/>
      <c r="J125" s="23"/>
      <c r="K125" s="23"/>
      <c r="L125" s="23"/>
      <c r="M125" s="23" t="s">
        <v>377</v>
      </c>
      <c r="N125" s="23"/>
      <c r="O125" s="23"/>
      <c r="P125" s="23"/>
      <c r="Q125" s="23"/>
      <c r="R125" s="23"/>
      <c r="S125" s="23" t="s">
        <v>203</v>
      </c>
      <c r="T125" s="23" t="s">
        <v>368</v>
      </c>
      <c r="U125" s="23" t="s">
        <v>55</v>
      </c>
      <c r="V125" s="23"/>
      <c r="W125" s="23" t="s">
        <v>56</v>
      </c>
      <c r="X125" s="23" t="s">
        <v>41</v>
      </c>
      <c r="Y125" s="23" t="s">
        <v>56</v>
      </c>
      <c r="Z125" s="23" t="s">
        <v>43</v>
      </c>
      <c r="AA125" s="23" t="s">
        <v>44</v>
      </c>
      <c r="AB125" s="24"/>
    </row>
    <row r="126" spans="1:28" s="1" customFormat="1" ht="12.75">
      <c r="A126" s="20" t="s">
        <v>256</v>
      </c>
      <c r="B126" s="21" t="s">
        <v>394</v>
      </c>
      <c r="C126" s="22" t="s">
        <v>391</v>
      </c>
      <c r="D126" s="22" t="s">
        <v>41</v>
      </c>
      <c r="E126" s="23" t="s">
        <v>332</v>
      </c>
      <c r="F126" s="23" t="s">
        <v>379</v>
      </c>
      <c r="G126" s="23"/>
      <c r="H126" s="23"/>
      <c r="I126" s="23"/>
      <c r="J126" s="23"/>
      <c r="K126" s="23"/>
      <c r="L126" s="23"/>
      <c r="M126" s="23"/>
      <c r="N126" s="23"/>
      <c r="O126" s="23"/>
      <c r="P126" s="23" t="s">
        <v>380</v>
      </c>
      <c r="Q126" s="23"/>
      <c r="R126" s="23"/>
      <c r="S126" s="23" t="s">
        <v>203</v>
      </c>
      <c r="T126" s="23" t="s">
        <v>368</v>
      </c>
      <c r="U126" s="23" t="s">
        <v>55</v>
      </c>
      <c r="V126" s="23"/>
      <c r="W126" s="23" t="s">
        <v>56</v>
      </c>
      <c r="X126" s="23" t="s">
        <v>41</v>
      </c>
      <c r="Y126" s="23" t="s">
        <v>56</v>
      </c>
      <c r="Z126" s="23" t="s">
        <v>43</v>
      </c>
      <c r="AA126" s="23" t="s">
        <v>44</v>
      </c>
      <c r="AB126" s="24"/>
    </row>
    <row r="127" spans="1:28" s="1" customFormat="1" ht="12.75">
      <c r="A127" s="20" t="s">
        <v>256</v>
      </c>
      <c r="B127" s="21" t="s">
        <v>395</v>
      </c>
      <c r="C127" s="22" t="s">
        <v>396</v>
      </c>
      <c r="D127" s="22" t="s">
        <v>41</v>
      </c>
      <c r="E127" s="23" t="s">
        <v>205</v>
      </c>
      <c r="F127" s="23" t="s">
        <v>383</v>
      </c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 t="s">
        <v>55</v>
      </c>
      <c r="V127" s="23"/>
      <c r="W127" s="23" t="s">
        <v>56</v>
      </c>
      <c r="X127" s="23" t="s">
        <v>41</v>
      </c>
      <c r="Y127" s="23" t="s">
        <v>56</v>
      </c>
      <c r="Z127" s="23" t="s">
        <v>43</v>
      </c>
      <c r="AA127" s="23" t="s">
        <v>44</v>
      </c>
      <c r="AB127" s="24"/>
    </row>
    <row r="128" spans="1:28" s="1" customFormat="1" ht="12.75">
      <c r="A128" s="20" t="s">
        <v>256</v>
      </c>
      <c r="B128" s="21" t="s">
        <v>397</v>
      </c>
      <c r="C128" s="22" t="s">
        <v>396</v>
      </c>
      <c r="D128" s="22" t="s">
        <v>85</v>
      </c>
      <c r="E128" s="23" t="s">
        <v>200</v>
      </c>
      <c r="F128" s="23" t="s">
        <v>383</v>
      </c>
      <c r="G128" s="23" t="s">
        <v>88</v>
      </c>
      <c r="H128" s="23" t="s">
        <v>373</v>
      </c>
      <c r="I128" s="23" t="s">
        <v>203</v>
      </c>
      <c r="J128" s="23" t="s">
        <v>88</v>
      </c>
      <c r="K128" s="23" t="s">
        <v>373</v>
      </c>
      <c r="L128" s="23" t="s">
        <v>203</v>
      </c>
      <c r="M128" s="23"/>
      <c r="N128" s="23"/>
      <c r="O128" s="23"/>
      <c r="P128" s="23"/>
      <c r="Q128" s="23"/>
      <c r="R128" s="23"/>
      <c r="S128" s="23"/>
      <c r="T128" s="23" t="s">
        <v>385</v>
      </c>
      <c r="U128" s="23" t="s">
        <v>93</v>
      </c>
      <c r="V128" s="23" t="s">
        <v>39</v>
      </c>
      <c r="W128" s="23" t="s">
        <v>94</v>
      </c>
      <c r="X128" s="23" t="s">
        <v>41</v>
      </c>
      <c r="Y128" s="23" t="s">
        <v>95</v>
      </c>
      <c r="Z128" s="23" t="s">
        <v>43</v>
      </c>
      <c r="AA128" s="23" t="s">
        <v>44</v>
      </c>
      <c r="AB128" s="24"/>
    </row>
    <row r="129" spans="1:28" s="1" customFormat="1" ht="12.75">
      <c r="A129" s="20" t="s">
        <v>256</v>
      </c>
      <c r="B129" s="21" t="s">
        <v>398</v>
      </c>
      <c r="C129" s="22" t="s">
        <v>396</v>
      </c>
      <c r="D129" s="22" t="s">
        <v>41</v>
      </c>
      <c r="E129" s="23" t="s">
        <v>231</v>
      </c>
      <c r="F129" s="23" t="s">
        <v>387</v>
      </c>
      <c r="G129" s="23"/>
      <c r="H129" s="23"/>
      <c r="I129" s="23"/>
      <c r="J129" s="23"/>
      <c r="K129" s="23"/>
      <c r="L129" s="23"/>
      <c r="M129" s="23" t="s">
        <v>377</v>
      </c>
      <c r="N129" s="23"/>
      <c r="O129" s="23"/>
      <c r="P129" s="23"/>
      <c r="Q129" s="23"/>
      <c r="R129" s="23"/>
      <c r="S129" s="23" t="s">
        <v>203</v>
      </c>
      <c r="T129" s="23" t="s">
        <v>368</v>
      </c>
      <c r="U129" s="23" t="s">
        <v>55</v>
      </c>
      <c r="V129" s="23"/>
      <c r="W129" s="23" t="s">
        <v>56</v>
      </c>
      <c r="X129" s="23" t="s">
        <v>41</v>
      </c>
      <c r="Y129" s="23" t="s">
        <v>56</v>
      </c>
      <c r="Z129" s="23" t="s">
        <v>43</v>
      </c>
      <c r="AA129" s="23" t="s">
        <v>44</v>
      </c>
      <c r="AB129" s="24"/>
    </row>
    <row r="130" spans="1:28" s="1" customFormat="1" ht="12.75">
      <c r="A130" s="20" t="s">
        <v>256</v>
      </c>
      <c r="B130" s="21" t="s">
        <v>399</v>
      </c>
      <c r="C130" s="22" t="s">
        <v>396</v>
      </c>
      <c r="D130" s="22" t="s">
        <v>41</v>
      </c>
      <c r="E130" s="23" t="s">
        <v>332</v>
      </c>
      <c r="F130" s="23" t="s">
        <v>389</v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 t="s">
        <v>380</v>
      </c>
      <c r="Q130" s="23"/>
      <c r="R130" s="23"/>
      <c r="S130" s="23" t="s">
        <v>203</v>
      </c>
      <c r="T130" s="23" t="s">
        <v>368</v>
      </c>
      <c r="U130" s="23" t="s">
        <v>55</v>
      </c>
      <c r="V130" s="23"/>
      <c r="W130" s="23" t="s">
        <v>56</v>
      </c>
      <c r="X130" s="23" t="s">
        <v>41</v>
      </c>
      <c r="Y130" s="23" t="s">
        <v>56</v>
      </c>
      <c r="Z130" s="23" t="s">
        <v>43</v>
      </c>
      <c r="AA130" s="23" t="s">
        <v>44</v>
      </c>
      <c r="AB130" s="24"/>
    </row>
    <row r="131" spans="1:28" s="1" customFormat="1" ht="12.75">
      <c r="A131" s="20" t="s">
        <v>256</v>
      </c>
      <c r="B131" s="21" t="s">
        <v>400</v>
      </c>
      <c r="C131" s="22" t="s">
        <v>401</v>
      </c>
      <c r="D131" s="22" t="s">
        <v>85</v>
      </c>
      <c r="E131" s="23" t="s">
        <v>242</v>
      </c>
      <c r="F131" s="23" t="s">
        <v>402</v>
      </c>
      <c r="G131" s="30">
        <v>0</v>
      </c>
      <c r="H131" s="30">
        <v>250</v>
      </c>
      <c r="I131" s="31" t="s">
        <v>245</v>
      </c>
      <c r="J131" s="30">
        <v>0</v>
      </c>
      <c r="K131" s="30">
        <v>250</v>
      </c>
      <c r="L131" s="23" t="s">
        <v>245</v>
      </c>
      <c r="M131" s="23"/>
      <c r="N131" s="23"/>
      <c r="O131" s="23"/>
      <c r="P131" s="23"/>
      <c r="Q131" s="23"/>
      <c r="R131" s="23"/>
      <c r="S131" s="23"/>
      <c r="T131" s="23" t="s">
        <v>374</v>
      </c>
      <c r="U131" s="23" t="s">
        <v>93</v>
      </c>
      <c r="V131" s="23" t="s">
        <v>39</v>
      </c>
      <c r="W131" s="23" t="s">
        <v>94</v>
      </c>
      <c r="X131" s="23" t="s">
        <v>41</v>
      </c>
      <c r="Y131" s="23" t="s">
        <v>95</v>
      </c>
      <c r="Z131" s="23" t="s">
        <v>43</v>
      </c>
      <c r="AA131" s="23" t="s">
        <v>44</v>
      </c>
      <c r="AB131" s="24" t="s">
        <v>403</v>
      </c>
    </row>
    <row r="132" spans="1:28" s="1" customFormat="1" ht="12.75">
      <c r="A132" s="20" t="s">
        <v>256</v>
      </c>
      <c r="B132" s="21" t="s">
        <v>404</v>
      </c>
      <c r="C132" s="22" t="s">
        <v>401</v>
      </c>
      <c r="D132" s="22" t="s">
        <v>41</v>
      </c>
      <c r="E132" s="23" t="s">
        <v>247</v>
      </c>
      <c r="F132" s="23" t="s">
        <v>402</v>
      </c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 t="s">
        <v>55</v>
      </c>
      <c r="V132" s="23"/>
      <c r="W132" s="23" t="s">
        <v>56</v>
      </c>
      <c r="X132" s="23" t="s">
        <v>41</v>
      </c>
      <c r="Y132" s="23" t="s">
        <v>56</v>
      </c>
      <c r="Z132" s="23" t="s">
        <v>43</v>
      </c>
      <c r="AA132" s="23" t="s">
        <v>44</v>
      </c>
      <c r="AB132" s="24"/>
    </row>
    <row r="133" spans="1:28" s="1" customFormat="1" ht="12.75">
      <c r="A133" s="20" t="s">
        <v>256</v>
      </c>
      <c r="B133" s="21" t="s">
        <v>405</v>
      </c>
      <c r="C133" s="22" t="s">
        <v>401</v>
      </c>
      <c r="D133" s="22" t="s">
        <v>41</v>
      </c>
      <c r="E133" s="23" t="s">
        <v>406</v>
      </c>
      <c r="F133" s="23" t="s">
        <v>407</v>
      </c>
      <c r="G133" s="23"/>
      <c r="H133" s="23"/>
      <c r="I133" s="23"/>
      <c r="J133" s="23"/>
      <c r="K133" s="23"/>
      <c r="L133" s="23"/>
      <c r="M133" s="23" t="s">
        <v>408</v>
      </c>
      <c r="N133" s="23"/>
      <c r="O133" s="23"/>
      <c r="P133" s="23"/>
      <c r="Q133" s="23"/>
      <c r="R133" s="23"/>
      <c r="S133" s="23" t="s">
        <v>245</v>
      </c>
      <c r="T133" s="23"/>
      <c r="U133" s="23" t="s">
        <v>55</v>
      </c>
      <c r="V133" s="23"/>
      <c r="W133" s="23" t="s">
        <v>56</v>
      </c>
      <c r="X133" s="23" t="s">
        <v>41</v>
      </c>
      <c r="Y133" s="23" t="s">
        <v>56</v>
      </c>
      <c r="Z133" s="23" t="s">
        <v>43</v>
      </c>
      <c r="AA133" s="23" t="s">
        <v>44</v>
      </c>
      <c r="AB133" s="24"/>
    </row>
    <row r="134" spans="1:28" s="1" customFormat="1" ht="12.75">
      <c r="A134" s="20" t="s">
        <v>256</v>
      </c>
      <c r="B134" s="21" t="s">
        <v>409</v>
      </c>
      <c r="C134" s="22" t="s">
        <v>401</v>
      </c>
      <c r="D134" s="22" t="s">
        <v>41</v>
      </c>
      <c r="E134" s="23" t="s">
        <v>406</v>
      </c>
      <c r="F134" s="23" t="s">
        <v>407</v>
      </c>
      <c r="G134" s="23"/>
      <c r="H134" s="23"/>
      <c r="I134" s="23"/>
      <c r="J134" s="23"/>
      <c r="K134" s="23"/>
      <c r="L134" s="23"/>
      <c r="M134" s="23" t="s">
        <v>410</v>
      </c>
      <c r="N134" s="23"/>
      <c r="O134" s="23"/>
      <c r="P134" s="23"/>
      <c r="Q134" s="23"/>
      <c r="R134" s="23"/>
      <c r="S134" s="23" t="s">
        <v>245</v>
      </c>
      <c r="T134" s="23"/>
      <c r="U134" s="23" t="s">
        <v>55</v>
      </c>
      <c r="V134" s="23"/>
      <c r="W134" s="23" t="s">
        <v>56</v>
      </c>
      <c r="X134" s="23" t="s">
        <v>41</v>
      </c>
      <c r="Y134" s="23" t="s">
        <v>56</v>
      </c>
      <c r="Z134" s="23" t="s">
        <v>43</v>
      </c>
      <c r="AA134" s="23" t="s">
        <v>44</v>
      </c>
      <c r="AB134" s="24"/>
    </row>
    <row r="135" spans="1:28" s="1" customFormat="1" ht="12.75">
      <c r="A135" s="20" t="s">
        <v>256</v>
      </c>
      <c r="B135" s="21" t="s">
        <v>411</v>
      </c>
      <c r="C135" s="22" t="s">
        <v>412</v>
      </c>
      <c r="D135" s="22" t="s">
        <v>85</v>
      </c>
      <c r="E135" s="23" t="s">
        <v>242</v>
      </c>
      <c r="F135" s="23" t="s">
        <v>413</v>
      </c>
      <c r="G135" s="30">
        <v>0</v>
      </c>
      <c r="H135" s="30">
        <v>250</v>
      </c>
      <c r="I135" s="31" t="s">
        <v>245</v>
      </c>
      <c r="J135" s="30">
        <v>0</v>
      </c>
      <c r="K135" s="30">
        <v>250</v>
      </c>
      <c r="L135" s="23" t="s">
        <v>245</v>
      </c>
      <c r="M135" s="23"/>
      <c r="N135" s="23"/>
      <c r="O135" s="23"/>
      <c r="P135" s="23"/>
      <c r="Q135" s="23"/>
      <c r="R135" s="23"/>
      <c r="S135" s="23"/>
      <c r="T135" s="23" t="s">
        <v>385</v>
      </c>
      <c r="U135" s="23" t="s">
        <v>93</v>
      </c>
      <c r="V135" s="23" t="s">
        <v>39</v>
      </c>
      <c r="W135" s="23" t="s">
        <v>94</v>
      </c>
      <c r="X135" s="23" t="s">
        <v>41</v>
      </c>
      <c r="Y135" s="23" t="s">
        <v>95</v>
      </c>
      <c r="Z135" s="23" t="s">
        <v>43</v>
      </c>
      <c r="AA135" s="23" t="s">
        <v>44</v>
      </c>
      <c r="AB135" s="24" t="s">
        <v>403</v>
      </c>
    </row>
    <row r="136" spans="1:28" s="1" customFormat="1" ht="12.75">
      <c r="A136" s="20" t="s">
        <v>256</v>
      </c>
      <c r="B136" s="21" t="s">
        <v>414</v>
      </c>
      <c r="C136" s="22" t="s">
        <v>412</v>
      </c>
      <c r="D136" s="22" t="s">
        <v>41</v>
      </c>
      <c r="E136" s="23" t="s">
        <v>247</v>
      </c>
      <c r="F136" s="23" t="s">
        <v>413</v>
      </c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 t="s">
        <v>55</v>
      </c>
      <c r="V136" s="23"/>
      <c r="W136" s="23" t="s">
        <v>56</v>
      </c>
      <c r="X136" s="23" t="s">
        <v>41</v>
      </c>
      <c r="Y136" s="23" t="s">
        <v>56</v>
      </c>
      <c r="Z136" s="23" t="s">
        <v>43</v>
      </c>
      <c r="AA136" s="23" t="s">
        <v>44</v>
      </c>
      <c r="AB136" s="24"/>
    </row>
    <row r="137" spans="1:28" s="1" customFormat="1" ht="12.75">
      <c r="A137" s="20" t="s">
        <v>256</v>
      </c>
      <c r="B137" s="21" t="s">
        <v>415</v>
      </c>
      <c r="C137" s="22" t="s">
        <v>412</v>
      </c>
      <c r="D137" s="22" t="s">
        <v>41</v>
      </c>
      <c r="E137" s="23" t="s">
        <v>406</v>
      </c>
      <c r="F137" s="23" t="s">
        <v>416</v>
      </c>
      <c r="G137" s="23"/>
      <c r="H137" s="23"/>
      <c r="I137" s="23"/>
      <c r="J137" s="23"/>
      <c r="K137" s="23"/>
      <c r="L137" s="23"/>
      <c r="M137" s="23" t="s">
        <v>408</v>
      </c>
      <c r="N137" s="23"/>
      <c r="O137" s="23"/>
      <c r="P137" s="23"/>
      <c r="Q137" s="23"/>
      <c r="R137" s="23"/>
      <c r="S137" s="23" t="s">
        <v>245</v>
      </c>
      <c r="T137" s="23"/>
      <c r="U137" s="23" t="s">
        <v>55</v>
      </c>
      <c r="V137" s="23"/>
      <c r="W137" s="23" t="s">
        <v>56</v>
      </c>
      <c r="X137" s="23" t="s">
        <v>41</v>
      </c>
      <c r="Y137" s="23" t="s">
        <v>56</v>
      </c>
      <c r="Z137" s="23" t="s">
        <v>43</v>
      </c>
      <c r="AA137" s="23" t="s">
        <v>44</v>
      </c>
      <c r="AB137" s="24"/>
    </row>
    <row r="138" spans="1:28" s="1" customFormat="1" ht="12.75">
      <c r="A138" s="20" t="s">
        <v>256</v>
      </c>
      <c r="B138" s="21" t="s">
        <v>417</v>
      </c>
      <c r="C138" s="22" t="s">
        <v>412</v>
      </c>
      <c r="D138" s="22" t="s">
        <v>41</v>
      </c>
      <c r="E138" s="23" t="s">
        <v>406</v>
      </c>
      <c r="F138" s="23" t="s">
        <v>416</v>
      </c>
      <c r="G138" s="23"/>
      <c r="H138" s="23"/>
      <c r="I138" s="23"/>
      <c r="J138" s="23"/>
      <c r="K138" s="23"/>
      <c r="L138" s="23"/>
      <c r="M138" s="23" t="s">
        <v>410</v>
      </c>
      <c r="N138" s="23"/>
      <c r="O138" s="23"/>
      <c r="P138" s="23"/>
      <c r="Q138" s="23"/>
      <c r="R138" s="23"/>
      <c r="S138" s="23" t="s">
        <v>245</v>
      </c>
      <c r="T138" s="23"/>
      <c r="U138" s="23" t="s">
        <v>55</v>
      </c>
      <c r="V138" s="23"/>
      <c r="W138" s="23" t="s">
        <v>56</v>
      </c>
      <c r="X138" s="23" t="s">
        <v>41</v>
      </c>
      <c r="Y138" s="23" t="s">
        <v>56</v>
      </c>
      <c r="Z138" s="23" t="s">
        <v>43</v>
      </c>
      <c r="AA138" s="23" t="s">
        <v>44</v>
      </c>
      <c r="AB138" s="24"/>
    </row>
    <row r="139" spans="1:28" s="1" customFormat="1" ht="12.75">
      <c r="A139" s="20" t="s">
        <v>256</v>
      </c>
      <c r="B139" s="21" t="s">
        <v>418</v>
      </c>
      <c r="C139" s="22" t="s">
        <v>419</v>
      </c>
      <c r="D139" s="22" t="s">
        <v>85</v>
      </c>
      <c r="E139" s="23" t="s">
        <v>242</v>
      </c>
      <c r="F139" s="23" t="s">
        <v>402</v>
      </c>
      <c r="G139" s="30">
        <v>0</v>
      </c>
      <c r="H139" s="30">
        <v>250</v>
      </c>
      <c r="I139" s="31" t="s">
        <v>245</v>
      </c>
      <c r="J139" s="30">
        <v>0</v>
      </c>
      <c r="K139" s="30">
        <v>250</v>
      </c>
      <c r="L139" s="23" t="s">
        <v>245</v>
      </c>
      <c r="M139" s="23"/>
      <c r="N139" s="23"/>
      <c r="O139" s="23"/>
      <c r="P139" s="23"/>
      <c r="Q139" s="23"/>
      <c r="R139" s="23"/>
      <c r="S139" s="23"/>
      <c r="T139" s="23" t="s">
        <v>374</v>
      </c>
      <c r="U139" s="23" t="s">
        <v>93</v>
      </c>
      <c r="V139" s="23" t="s">
        <v>39</v>
      </c>
      <c r="W139" s="23" t="s">
        <v>94</v>
      </c>
      <c r="X139" s="23" t="s">
        <v>41</v>
      </c>
      <c r="Y139" s="23" t="s">
        <v>95</v>
      </c>
      <c r="Z139" s="23" t="s">
        <v>43</v>
      </c>
      <c r="AA139" s="23" t="s">
        <v>44</v>
      </c>
      <c r="AB139" s="24" t="s">
        <v>403</v>
      </c>
    </row>
    <row r="140" spans="1:28" s="1" customFormat="1" ht="12.75">
      <c r="A140" s="20" t="s">
        <v>256</v>
      </c>
      <c r="B140" s="21" t="s">
        <v>420</v>
      </c>
      <c r="C140" s="22" t="s">
        <v>419</v>
      </c>
      <c r="D140" s="22" t="s">
        <v>41</v>
      </c>
      <c r="E140" s="23" t="s">
        <v>247</v>
      </c>
      <c r="F140" s="23" t="s">
        <v>402</v>
      </c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 t="s">
        <v>55</v>
      </c>
      <c r="V140" s="23"/>
      <c r="W140" s="23" t="s">
        <v>56</v>
      </c>
      <c r="X140" s="23" t="s">
        <v>41</v>
      </c>
      <c r="Y140" s="23" t="s">
        <v>56</v>
      </c>
      <c r="Z140" s="23" t="s">
        <v>43</v>
      </c>
      <c r="AA140" s="23" t="s">
        <v>44</v>
      </c>
      <c r="AB140" s="24"/>
    </row>
    <row r="141" spans="1:28" s="1" customFormat="1" ht="12.75">
      <c r="A141" s="20" t="s">
        <v>256</v>
      </c>
      <c r="B141" s="21" t="s">
        <v>421</v>
      </c>
      <c r="C141" s="22" t="s">
        <v>419</v>
      </c>
      <c r="D141" s="22" t="s">
        <v>41</v>
      </c>
      <c r="E141" s="23" t="s">
        <v>406</v>
      </c>
      <c r="F141" s="23" t="s">
        <v>407</v>
      </c>
      <c r="G141" s="23"/>
      <c r="H141" s="23"/>
      <c r="I141" s="23"/>
      <c r="J141" s="23"/>
      <c r="K141" s="23"/>
      <c r="L141" s="23"/>
      <c r="M141" s="23" t="s">
        <v>408</v>
      </c>
      <c r="N141" s="23"/>
      <c r="O141" s="23"/>
      <c r="P141" s="23"/>
      <c r="Q141" s="23"/>
      <c r="R141" s="23"/>
      <c r="S141" s="23" t="s">
        <v>245</v>
      </c>
      <c r="T141" s="23" t="s">
        <v>368</v>
      </c>
      <c r="U141" s="23" t="s">
        <v>55</v>
      </c>
      <c r="V141" s="23"/>
      <c r="W141" s="23" t="s">
        <v>56</v>
      </c>
      <c r="X141" s="23" t="s">
        <v>41</v>
      </c>
      <c r="Y141" s="23" t="s">
        <v>56</v>
      </c>
      <c r="Z141" s="23" t="s">
        <v>43</v>
      </c>
      <c r="AA141" s="23" t="s">
        <v>44</v>
      </c>
      <c r="AB141" s="24"/>
    </row>
    <row r="142" spans="1:28" s="1" customFormat="1" ht="12.75">
      <c r="A142" s="20" t="s">
        <v>256</v>
      </c>
      <c r="B142" s="21" t="s">
        <v>422</v>
      </c>
      <c r="C142" s="22" t="s">
        <v>419</v>
      </c>
      <c r="D142" s="22" t="s">
        <v>41</v>
      </c>
      <c r="E142" s="23" t="s">
        <v>406</v>
      </c>
      <c r="F142" s="23" t="s">
        <v>407</v>
      </c>
      <c r="G142" s="23"/>
      <c r="H142" s="23"/>
      <c r="I142" s="23"/>
      <c r="J142" s="23"/>
      <c r="K142" s="23"/>
      <c r="L142" s="23"/>
      <c r="M142" s="23" t="s">
        <v>410</v>
      </c>
      <c r="N142" s="23"/>
      <c r="O142" s="23"/>
      <c r="P142" s="23"/>
      <c r="Q142" s="23"/>
      <c r="R142" s="23"/>
      <c r="S142" s="23" t="s">
        <v>245</v>
      </c>
      <c r="T142" s="23" t="s">
        <v>368</v>
      </c>
      <c r="U142" s="23" t="s">
        <v>55</v>
      </c>
      <c r="V142" s="23"/>
      <c r="W142" s="23" t="s">
        <v>56</v>
      </c>
      <c r="X142" s="23" t="s">
        <v>41</v>
      </c>
      <c r="Y142" s="23" t="s">
        <v>56</v>
      </c>
      <c r="Z142" s="23" t="s">
        <v>43</v>
      </c>
      <c r="AA142" s="23" t="s">
        <v>44</v>
      </c>
      <c r="AB142" s="24"/>
    </row>
    <row r="143" spans="1:28" s="1" customFormat="1" ht="12.75">
      <c r="A143" s="20" t="s">
        <v>256</v>
      </c>
      <c r="B143" s="21" t="s">
        <v>423</v>
      </c>
      <c r="C143" s="22" t="s">
        <v>424</v>
      </c>
      <c r="D143" s="22" t="s">
        <v>85</v>
      </c>
      <c r="E143" s="23" t="s">
        <v>242</v>
      </c>
      <c r="F143" s="23" t="s">
        <v>413</v>
      </c>
      <c r="G143" s="30">
        <v>0</v>
      </c>
      <c r="H143" s="30">
        <v>250</v>
      </c>
      <c r="I143" s="31" t="s">
        <v>245</v>
      </c>
      <c r="J143" s="30">
        <v>0</v>
      </c>
      <c r="K143" s="30">
        <v>250</v>
      </c>
      <c r="L143" s="23" t="s">
        <v>245</v>
      </c>
      <c r="M143" s="23"/>
      <c r="N143" s="23"/>
      <c r="O143" s="23"/>
      <c r="P143" s="23"/>
      <c r="Q143" s="23"/>
      <c r="R143" s="23"/>
      <c r="S143" s="23"/>
      <c r="T143" s="23" t="s">
        <v>385</v>
      </c>
      <c r="U143" s="23" t="s">
        <v>93</v>
      </c>
      <c r="V143" s="23" t="s">
        <v>39</v>
      </c>
      <c r="W143" s="23" t="s">
        <v>94</v>
      </c>
      <c r="X143" s="23" t="s">
        <v>41</v>
      </c>
      <c r="Y143" s="23" t="s">
        <v>95</v>
      </c>
      <c r="Z143" s="23" t="s">
        <v>43</v>
      </c>
      <c r="AA143" s="23" t="s">
        <v>44</v>
      </c>
      <c r="AB143" s="24" t="s">
        <v>403</v>
      </c>
    </row>
    <row r="144" spans="1:28" s="1" customFormat="1" ht="12.75">
      <c r="A144" s="20" t="s">
        <v>256</v>
      </c>
      <c r="B144" s="21" t="s">
        <v>425</v>
      </c>
      <c r="C144" s="22" t="s">
        <v>424</v>
      </c>
      <c r="D144" s="22" t="s">
        <v>41</v>
      </c>
      <c r="E144" s="23" t="s">
        <v>247</v>
      </c>
      <c r="F144" s="23" t="s">
        <v>413</v>
      </c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 t="s">
        <v>55</v>
      </c>
      <c r="V144" s="23"/>
      <c r="W144" s="23" t="s">
        <v>56</v>
      </c>
      <c r="X144" s="23" t="s">
        <v>41</v>
      </c>
      <c r="Y144" s="23" t="s">
        <v>56</v>
      </c>
      <c r="Z144" s="23" t="s">
        <v>43</v>
      </c>
      <c r="AA144" s="23" t="s">
        <v>44</v>
      </c>
      <c r="AB144" s="24"/>
    </row>
    <row r="145" spans="1:28" s="1" customFormat="1" ht="12.75">
      <c r="A145" s="20" t="s">
        <v>256</v>
      </c>
      <c r="B145" s="21" t="s">
        <v>426</v>
      </c>
      <c r="C145" s="22" t="s">
        <v>424</v>
      </c>
      <c r="D145" s="22" t="s">
        <v>41</v>
      </c>
      <c r="E145" s="23" t="s">
        <v>406</v>
      </c>
      <c r="F145" s="23" t="s">
        <v>413</v>
      </c>
      <c r="G145" s="23"/>
      <c r="H145" s="23"/>
      <c r="I145" s="23"/>
      <c r="J145" s="23"/>
      <c r="K145" s="23"/>
      <c r="L145" s="23"/>
      <c r="M145" s="23" t="s">
        <v>408</v>
      </c>
      <c r="N145" s="23"/>
      <c r="O145" s="23"/>
      <c r="P145" s="23"/>
      <c r="Q145" s="23"/>
      <c r="R145" s="23"/>
      <c r="S145" s="23" t="s">
        <v>245</v>
      </c>
      <c r="T145" s="23" t="s">
        <v>368</v>
      </c>
      <c r="U145" s="23" t="s">
        <v>55</v>
      </c>
      <c r="V145" s="23"/>
      <c r="W145" s="23" t="s">
        <v>56</v>
      </c>
      <c r="X145" s="23" t="s">
        <v>41</v>
      </c>
      <c r="Y145" s="23" t="s">
        <v>56</v>
      </c>
      <c r="Z145" s="23" t="s">
        <v>43</v>
      </c>
      <c r="AA145" s="23" t="s">
        <v>44</v>
      </c>
      <c r="AB145" s="24"/>
    </row>
    <row r="146" spans="1:28" s="1" customFormat="1" ht="12.75">
      <c r="A146" s="20" t="s">
        <v>256</v>
      </c>
      <c r="B146" s="21" t="s">
        <v>427</v>
      </c>
      <c r="C146" s="22" t="s">
        <v>424</v>
      </c>
      <c r="D146" s="22" t="s">
        <v>41</v>
      </c>
      <c r="E146" s="23" t="s">
        <v>406</v>
      </c>
      <c r="F146" s="23" t="s">
        <v>416</v>
      </c>
      <c r="G146" s="23"/>
      <c r="H146" s="23"/>
      <c r="I146" s="23"/>
      <c r="J146" s="23"/>
      <c r="K146" s="23"/>
      <c r="L146" s="23"/>
      <c r="M146" s="23" t="s">
        <v>410</v>
      </c>
      <c r="N146" s="23"/>
      <c r="O146" s="23"/>
      <c r="P146" s="23"/>
      <c r="Q146" s="23"/>
      <c r="R146" s="23"/>
      <c r="S146" s="23" t="s">
        <v>245</v>
      </c>
      <c r="T146" s="23" t="s">
        <v>368</v>
      </c>
      <c r="U146" s="23" t="s">
        <v>55</v>
      </c>
      <c r="V146" s="23"/>
      <c r="W146" s="23" t="s">
        <v>56</v>
      </c>
      <c r="X146" s="23" t="s">
        <v>41</v>
      </c>
      <c r="Y146" s="23" t="s">
        <v>56</v>
      </c>
      <c r="Z146" s="23" t="s">
        <v>43</v>
      </c>
      <c r="AA146" s="23" t="s">
        <v>44</v>
      </c>
      <c r="AB146" s="24"/>
    </row>
    <row r="147" spans="1:28" s="1" customFormat="1" ht="12.75">
      <c r="A147" s="20" t="s">
        <v>428</v>
      </c>
      <c r="B147" s="21" t="s">
        <v>429</v>
      </c>
      <c r="C147" s="22" t="s">
        <v>430</v>
      </c>
      <c r="D147" s="22" t="s">
        <v>35</v>
      </c>
      <c r="E147" s="23" t="s">
        <v>36</v>
      </c>
      <c r="F147" s="23" t="s">
        <v>431</v>
      </c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 t="s">
        <v>38</v>
      </c>
      <c r="V147" s="23" t="s">
        <v>39</v>
      </c>
      <c r="W147" s="23" t="s">
        <v>40</v>
      </c>
      <c r="X147" s="23" t="s">
        <v>41</v>
      </c>
      <c r="Y147" s="23" t="s">
        <v>42</v>
      </c>
      <c r="Z147" s="23" t="s">
        <v>43</v>
      </c>
      <c r="AA147" s="23" t="s">
        <v>44</v>
      </c>
      <c r="AB147" s="24"/>
    </row>
    <row r="148" spans="1:28" s="1" customFormat="1" ht="12.75">
      <c r="A148" s="20" t="s">
        <v>428</v>
      </c>
      <c r="B148" s="21" t="s">
        <v>432</v>
      </c>
      <c r="C148" s="22" t="s">
        <v>430</v>
      </c>
      <c r="D148" s="22" t="s">
        <v>35</v>
      </c>
      <c r="E148" s="23" t="s">
        <v>46</v>
      </c>
      <c r="F148" s="23" t="s">
        <v>433</v>
      </c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 t="s">
        <v>48</v>
      </c>
      <c r="V148" s="23" t="s">
        <v>39</v>
      </c>
      <c r="W148" s="23" t="s">
        <v>49</v>
      </c>
      <c r="X148" s="23" t="s">
        <v>41</v>
      </c>
      <c r="Y148" s="23" t="s">
        <v>42</v>
      </c>
      <c r="Z148" s="23" t="s">
        <v>43</v>
      </c>
      <c r="AA148" s="23" t="s">
        <v>44</v>
      </c>
      <c r="AB148" s="24"/>
    </row>
    <row r="149" spans="1:28" s="1" customFormat="1" ht="12.75">
      <c r="A149" s="20" t="s">
        <v>428</v>
      </c>
      <c r="B149" s="21" t="s">
        <v>434</v>
      </c>
      <c r="C149" s="22" t="s">
        <v>430</v>
      </c>
      <c r="D149" s="22" t="s">
        <v>35</v>
      </c>
      <c r="E149" s="23" t="s">
        <v>51</v>
      </c>
      <c r="F149" s="23" t="s">
        <v>435</v>
      </c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 t="s">
        <v>48</v>
      </c>
      <c r="V149" s="23" t="s">
        <v>39</v>
      </c>
      <c r="W149" s="23" t="s">
        <v>49</v>
      </c>
      <c r="X149" s="23" t="s">
        <v>41</v>
      </c>
      <c r="Y149" s="23" t="s">
        <v>42</v>
      </c>
      <c r="Z149" s="23" t="s">
        <v>43</v>
      </c>
      <c r="AA149" s="23" t="s">
        <v>44</v>
      </c>
      <c r="AB149" s="24"/>
    </row>
    <row r="150" spans="1:28" s="1" customFormat="1" ht="12.75">
      <c r="A150" s="20" t="s">
        <v>428</v>
      </c>
      <c r="B150" s="21" t="s">
        <v>436</v>
      </c>
      <c r="C150" s="22" t="s">
        <v>430</v>
      </c>
      <c r="D150" s="22" t="s">
        <v>41</v>
      </c>
      <c r="E150" s="23" t="s">
        <v>54</v>
      </c>
      <c r="F150" s="23" t="s">
        <v>433</v>
      </c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 t="s">
        <v>55</v>
      </c>
      <c r="V150" s="23"/>
      <c r="W150" s="23" t="s">
        <v>56</v>
      </c>
      <c r="X150" s="23" t="s">
        <v>41</v>
      </c>
      <c r="Y150" s="23" t="s">
        <v>56</v>
      </c>
      <c r="Z150" s="23" t="s">
        <v>43</v>
      </c>
      <c r="AA150" s="23" t="s">
        <v>44</v>
      </c>
      <c r="AB150" s="24"/>
    </row>
    <row r="151" spans="1:28" s="1" customFormat="1" ht="12.75">
      <c r="A151" s="20" t="s">
        <v>428</v>
      </c>
      <c r="B151" s="21" t="s">
        <v>437</v>
      </c>
      <c r="C151" s="22" t="s">
        <v>430</v>
      </c>
      <c r="D151" s="22" t="s">
        <v>41</v>
      </c>
      <c r="E151" s="23" t="s">
        <v>58</v>
      </c>
      <c r="F151" s="23" t="s">
        <v>435</v>
      </c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 t="s">
        <v>55</v>
      </c>
      <c r="V151" s="23"/>
      <c r="W151" s="23" t="s">
        <v>56</v>
      </c>
      <c r="X151" s="23" t="s">
        <v>41</v>
      </c>
      <c r="Y151" s="23" t="s">
        <v>56</v>
      </c>
      <c r="Z151" s="23" t="s">
        <v>43</v>
      </c>
      <c r="AA151" s="23" t="s">
        <v>44</v>
      </c>
      <c r="AB151" s="24"/>
    </row>
    <row r="152" spans="1:28" s="1" customFormat="1" ht="12.75">
      <c r="A152" s="20" t="s">
        <v>428</v>
      </c>
      <c r="B152" s="21" t="s">
        <v>438</v>
      </c>
      <c r="C152" s="22" t="s">
        <v>430</v>
      </c>
      <c r="D152" s="22" t="s">
        <v>41</v>
      </c>
      <c r="E152" s="23" t="s">
        <v>60</v>
      </c>
      <c r="F152" s="23" t="s">
        <v>439</v>
      </c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 t="s">
        <v>55</v>
      </c>
      <c r="V152" s="23"/>
      <c r="W152" s="23" t="s">
        <v>56</v>
      </c>
      <c r="X152" s="23" t="s">
        <v>41</v>
      </c>
      <c r="Y152" s="23" t="s">
        <v>56</v>
      </c>
      <c r="Z152" s="23" t="s">
        <v>43</v>
      </c>
      <c r="AA152" s="23" t="s">
        <v>44</v>
      </c>
      <c r="AB152" s="24"/>
    </row>
    <row r="153" spans="1:28" s="1" customFormat="1" ht="12.75">
      <c r="A153" s="20" t="s">
        <v>428</v>
      </c>
      <c r="B153" s="21" t="s">
        <v>440</v>
      </c>
      <c r="C153" s="22" t="s">
        <v>430</v>
      </c>
      <c r="D153" s="22" t="s">
        <v>41</v>
      </c>
      <c r="E153" s="23" t="s">
        <v>63</v>
      </c>
      <c r="F153" s="23" t="s">
        <v>441</v>
      </c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 t="s">
        <v>55</v>
      </c>
      <c r="V153" s="23"/>
      <c r="W153" s="23" t="s">
        <v>56</v>
      </c>
      <c r="X153" s="23" t="s">
        <v>41</v>
      </c>
      <c r="Y153" s="23" t="s">
        <v>56</v>
      </c>
      <c r="Z153" s="23" t="s">
        <v>43</v>
      </c>
      <c r="AA153" s="23" t="s">
        <v>44</v>
      </c>
      <c r="AB153" s="24"/>
    </row>
    <row r="154" spans="1:28" s="1" customFormat="1" ht="12.75">
      <c r="A154" s="20" t="s">
        <v>428</v>
      </c>
      <c r="B154" s="21" t="s">
        <v>442</v>
      </c>
      <c r="C154" s="22" t="s">
        <v>430</v>
      </c>
      <c r="D154" s="22" t="s">
        <v>41</v>
      </c>
      <c r="E154" s="23" t="s">
        <v>66</v>
      </c>
      <c r="F154" s="23" t="s">
        <v>443</v>
      </c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 t="s">
        <v>55</v>
      </c>
      <c r="V154" s="23"/>
      <c r="W154" s="23" t="s">
        <v>56</v>
      </c>
      <c r="X154" s="23" t="s">
        <v>41</v>
      </c>
      <c r="Y154" s="23" t="s">
        <v>56</v>
      </c>
      <c r="Z154" s="23" t="s">
        <v>43</v>
      </c>
      <c r="AA154" s="23" t="s">
        <v>44</v>
      </c>
      <c r="AB154" s="24"/>
    </row>
    <row r="155" spans="1:28" s="1" customFormat="1" ht="12.75">
      <c r="A155" s="20" t="s">
        <v>428</v>
      </c>
      <c r="B155" s="21" t="s">
        <v>444</v>
      </c>
      <c r="C155" s="22" t="s">
        <v>445</v>
      </c>
      <c r="D155" s="22" t="s">
        <v>85</v>
      </c>
      <c r="E155" s="23" t="s">
        <v>86</v>
      </c>
      <c r="F155" s="23" t="s">
        <v>446</v>
      </c>
      <c r="G155" s="23" t="s">
        <v>88</v>
      </c>
      <c r="H155" s="23" t="s">
        <v>89</v>
      </c>
      <c r="I155" s="23" t="s">
        <v>90</v>
      </c>
      <c r="J155" s="23" t="s">
        <v>88</v>
      </c>
      <c r="K155" s="23" t="s">
        <v>91</v>
      </c>
      <c r="L155" s="23" t="s">
        <v>92</v>
      </c>
      <c r="M155" s="23"/>
      <c r="N155" s="23"/>
      <c r="O155" s="23"/>
      <c r="P155" s="23"/>
      <c r="Q155" s="23"/>
      <c r="R155" s="23"/>
      <c r="S155" s="23"/>
      <c r="T155" s="23"/>
      <c r="U155" s="23" t="s">
        <v>93</v>
      </c>
      <c r="V155" s="23" t="s">
        <v>39</v>
      </c>
      <c r="W155" s="23" t="s">
        <v>94</v>
      </c>
      <c r="X155" s="23" t="s">
        <v>41</v>
      </c>
      <c r="Y155" s="23" t="s">
        <v>95</v>
      </c>
      <c r="Z155" s="23" t="s">
        <v>43</v>
      </c>
      <c r="AA155" s="23" t="s">
        <v>44</v>
      </c>
      <c r="AB155" s="24"/>
    </row>
    <row r="156" spans="1:28" s="1" customFormat="1" ht="12.75">
      <c r="A156" s="20" t="s">
        <v>428</v>
      </c>
      <c r="B156" s="21" t="s">
        <v>447</v>
      </c>
      <c r="C156" s="22" t="s">
        <v>445</v>
      </c>
      <c r="D156" s="22" t="s">
        <v>41</v>
      </c>
      <c r="E156" s="23" t="s">
        <v>104</v>
      </c>
      <c r="F156" s="23" t="s">
        <v>448</v>
      </c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 t="s">
        <v>55</v>
      </c>
      <c r="V156" s="23"/>
      <c r="W156" s="23" t="s">
        <v>56</v>
      </c>
      <c r="X156" s="23" t="s">
        <v>41</v>
      </c>
      <c r="Y156" s="23" t="s">
        <v>56</v>
      </c>
      <c r="Z156" s="23" t="s">
        <v>43</v>
      </c>
      <c r="AA156" s="23" t="s">
        <v>44</v>
      </c>
      <c r="AB156" s="24"/>
    </row>
    <row r="157" spans="1:28" s="1" customFormat="1" ht="12.75">
      <c r="A157" s="20" t="s">
        <v>428</v>
      </c>
      <c r="B157" s="21" t="s">
        <v>449</v>
      </c>
      <c r="C157" s="22" t="s">
        <v>445</v>
      </c>
      <c r="D157" s="22" t="s">
        <v>35</v>
      </c>
      <c r="E157" s="23" t="s">
        <v>107</v>
      </c>
      <c r="F157" s="23" t="s">
        <v>450</v>
      </c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 t="s">
        <v>108</v>
      </c>
      <c r="V157" s="23" t="s">
        <v>39</v>
      </c>
      <c r="W157" s="23" t="s">
        <v>94</v>
      </c>
      <c r="X157" s="23" t="s">
        <v>41</v>
      </c>
      <c r="Y157" s="23" t="s">
        <v>95</v>
      </c>
      <c r="Z157" s="23" t="s">
        <v>43</v>
      </c>
      <c r="AA157" s="23" t="s">
        <v>44</v>
      </c>
      <c r="AB157" s="24"/>
    </row>
    <row r="158" spans="1:28" s="1" customFormat="1" ht="12.75">
      <c r="A158" s="20" t="s">
        <v>428</v>
      </c>
      <c r="B158" s="21" t="s">
        <v>451</v>
      </c>
      <c r="C158" s="22" t="s">
        <v>452</v>
      </c>
      <c r="D158" s="22" t="s">
        <v>41</v>
      </c>
      <c r="E158" s="23" t="s">
        <v>453</v>
      </c>
      <c r="F158" s="23" t="s">
        <v>454</v>
      </c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 t="s">
        <v>55</v>
      </c>
      <c r="V158" s="23"/>
      <c r="W158" s="23" t="s">
        <v>56</v>
      </c>
      <c r="X158" s="23" t="s">
        <v>41</v>
      </c>
      <c r="Y158" s="23" t="s">
        <v>56</v>
      </c>
      <c r="Z158" s="23" t="s">
        <v>43</v>
      </c>
      <c r="AA158" s="23" t="s">
        <v>44</v>
      </c>
      <c r="AB158" s="24"/>
    </row>
    <row r="159" spans="1:28" s="1" customFormat="1" ht="12.75">
      <c r="A159" s="20" t="s">
        <v>428</v>
      </c>
      <c r="B159" s="21" t="s">
        <v>455</v>
      </c>
      <c r="C159" s="22" t="s">
        <v>456</v>
      </c>
      <c r="D159" s="22" t="s">
        <v>85</v>
      </c>
      <c r="E159" s="23" t="s">
        <v>123</v>
      </c>
      <c r="F159" s="23" t="s">
        <v>457</v>
      </c>
      <c r="G159" s="23" t="s">
        <v>125</v>
      </c>
      <c r="H159" s="23" t="s">
        <v>458</v>
      </c>
      <c r="I159" s="23" t="s">
        <v>127</v>
      </c>
      <c r="J159" s="23" t="s">
        <v>88</v>
      </c>
      <c r="K159" s="23" t="s">
        <v>89</v>
      </c>
      <c r="L159" s="23" t="s">
        <v>128</v>
      </c>
      <c r="M159" s="23"/>
      <c r="N159" s="23"/>
      <c r="O159" s="23"/>
      <c r="P159" s="23"/>
      <c r="Q159" s="23"/>
      <c r="R159" s="23"/>
      <c r="S159" s="23"/>
      <c r="T159" s="23" t="s">
        <v>459</v>
      </c>
      <c r="U159" s="23" t="s">
        <v>93</v>
      </c>
      <c r="V159" s="23" t="s">
        <v>39</v>
      </c>
      <c r="W159" s="23" t="s">
        <v>94</v>
      </c>
      <c r="X159" s="23" t="s">
        <v>41</v>
      </c>
      <c r="Y159" s="23" t="s">
        <v>95</v>
      </c>
      <c r="Z159" s="23" t="s">
        <v>43</v>
      </c>
      <c r="AA159" s="23" t="s">
        <v>44</v>
      </c>
      <c r="AB159" s="24"/>
    </row>
    <row r="160" spans="1:28" s="1" customFormat="1" ht="12.75">
      <c r="A160" s="20" t="s">
        <v>428</v>
      </c>
      <c r="B160" s="21" t="s">
        <v>460</v>
      </c>
      <c r="C160" s="22" t="s">
        <v>456</v>
      </c>
      <c r="D160" s="22" t="s">
        <v>41</v>
      </c>
      <c r="E160" s="23" t="s">
        <v>151</v>
      </c>
      <c r="F160" s="23" t="s">
        <v>461</v>
      </c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 t="s">
        <v>55</v>
      </c>
      <c r="V160" s="23"/>
      <c r="W160" s="23" t="s">
        <v>56</v>
      </c>
      <c r="X160" s="23" t="s">
        <v>41</v>
      </c>
      <c r="Y160" s="23" t="s">
        <v>56</v>
      </c>
      <c r="Z160" s="23" t="s">
        <v>43</v>
      </c>
      <c r="AA160" s="23" t="s">
        <v>44</v>
      </c>
      <c r="AB160" s="24"/>
    </row>
    <row r="161" spans="1:28" s="1" customFormat="1" ht="12.75">
      <c r="A161" s="20" t="s">
        <v>428</v>
      </c>
      <c r="B161" s="21" t="s">
        <v>462</v>
      </c>
      <c r="C161" s="22" t="s">
        <v>456</v>
      </c>
      <c r="D161" s="22" t="s">
        <v>41</v>
      </c>
      <c r="E161" s="23" t="s">
        <v>140</v>
      </c>
      <c r="F161" s="23" t="s">
        <v>463</v>
      </c>
      <c r="G161" s="23"/>
      <c r="H161" s="23"/>
      <c r="I161" s="23"/>
      <c r="J161" s="23"/>
      <c r="K161" s="23"/>
      <c r="L161" s="23"/>
      <c r="M161" s="23" t="s">
        <v>464</v>
      </c>
      <c r="N161" s="23"/>
      <c r="O161" s="23"/>
      <c r="P161" s="23"/>
      <c r="Q161" s="23"/>
      <c r="R161" s="23"/>
      <c r="S161" s="23" t="s">
        <v>128</v>
      </c>
      <c r="T161" s="23"/>
      <c r="U161" s="23" t="s">
        <v>55</v>
      </c>
      <c r="V161" s="23"/>
      <c r="W161" s="23" t="s">
        <v>56</v>
      </c>
      <c r="X161" s="23" t="s">
        <v>41</v>
      </c>
      <c r="Y161" s="23" t="s">
        <v>56</v>
      </c>
      <c r="Z161" s="23" t="s">
        <v>43</v>
      </c>
      <c r="AA161" s="23" t="s">
        <v>44</v>
      </c>
      <c r="AB161" s="24"/>
    </row>
    <row r="162" spans="1:28" s="1" customFormat="1" ht="12.75">
      <c r="A162" s="20" t="s">
        <v>428</v>
      </c>
      <c r="B162" s="21" t="s">
        <v>465</v>
      </c>
      <c r="C162" s="22" t="s">
        <v>456</v>
      </c>
      <c r="D162" s="22" t="s">
        <v>41</v>
      </c>
      <c r="E162" s="23" t="s">
        <v>144</v>
      </c>
      <c r="F162" s="23" t="s">
        <v>466</v>
      </c>
      <c r="G162" s="23"/>
      <c r="H162" s="23"/>
      <c r="I162" s="23"/>
      <c r="J162" s="23"/>
      <c r="K162" s="23"/>
      <c r="L162" s="23"/>
      <c r="M162" s="23"/>
      <c r="N162" s="23"/>
      <c r="O162" s="23"/>
      <c r="P162" s="23" t="s">
        <v>467</v>
      </c>
      <c r="Q162" s="23"/>
      <c r="R162" s="23"/>
      <c r="S162" s="23" t="s">
        <v>128</v>
      </c>
      <c r="T162" s="23"/>
      <c r="U162" s="23" t="s">
        <v>55</v>
      </c>
      <c r="V162" s="23"/>
      <c r="W162" s="23" t="s">
        <v>56</v>
      </c>
      <c r="X162" s="23" t="s">
        <v>41</v>
      </c>
      <c r="Y162" s="23" t="s">
        <v>56</v>
      </c>
      <c r="Z162" s="23" t="s">
        <v>43</v>
      </c>
      <c r="AA162" s="23" t="s">
        <v>44</v>
      </c>
      <c r="AB162" s="24"/>
    </row>
    <row r="163" spans="1:28" s="1" customFormat="1" ht="12.75">
      <c r="A163" s="20" t="s">
        <v>428</v>
      </c>
      <c r="B163" s="21" t="s">
        <v>468</v>
      </c>
      <c r="C163" s="22" t="s">
        <v>456</v>
      </c>
      <c r="D163" s="22" t="s">
        <v>41</v>
      </c>
      <c r="E163" s="23" t="s">
        <v>296</v>
      </c>
      <c r="F163" s="23" t="s">
        <v>469</v>
      </c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 t="s">
        <v>368</v>
      </c>
      <c r="U163" s="23" t="s">
        <v>55</v>
      </c>
      <c r="V163" s="23"/>
      <c r="W163" s="23" t="s">
        <v>56</v>
      </c>
      <c r="X163" s="23" t="s">
        <v>41</v>
      </c>
      <c r="Y163" s="23" t="s">
        <v>56</v>
      </c>
      <c r="Z163" s="23" t="s">
        <v>43</v>
      </c>
      <c r="AA163" s="23" t="s">
        <v>44</v>
      </c>
      <c r="AB163" s="24"/>
    </row>
    <row r="164" spans="1:28" s="1" customFormat="1" ht="12.75">
      <c r="A164" s="20" t="s">
        <v>428</v>
      </c>
      <c r="B164" s="21" t="s">
        <v>470</v>
      </c>
      <c r="C164" s="22" t="s">
        <v>471</v>
      </c>
      <c r="D164" s="22" t="s">
        <v>171</v>
      </c>
      <c r="E164" s="23" t="s">
        <v>172</v>
      </c>
      <c r="F164" s="23" t="s">
        <v>472</v>
      </c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 t="s">
        <v>38</v>
      </c>
      <c r="V164" s="23" t="s">
        <v>39</v>
      </c>
      <c r="W164" s="23" t="s">
        <v>40</v>
      </c>
      <c r="X164" s="23" t="s">
        <v>41</v>
      </c>
      <c r="Y164" s="23" t="s">
        <v>42</v>
      </c>
      <c r="Z164" s="23" t="s">
        <v>43</v>
      </c>
      <c r="AA164" s="23" t="s">
        <v>44</v>
      </c>
      <c r="AB164" s="24"/>
    </row>
    <row r="165" spans="1:28" s="1" customFormat="1" ht="12.75">
      <c r="A165" s="20" t="s">
        <v>428</v>
      </c>
      <c r="B165" s="21" t="s">
        <v>473</v>
      </c>
      <c r="C165" s="22" t="s">
        <v>471</v>
      </c>
      <c r="D165" s="22" t="s">
        <v>171</v>
      </c>
      <c r="E165" s="23" t="s">
        <v>175</v>
      </c>
      <c r="F165" s="23" t="s">
        <v>474</v>
      </c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 t="s">
        <v>38</v>
      </c>
      <c r="V165" s="23" t="s">
        <v>39</v>
      </c>
      <c r="W165" s="23" t="s">
        <v>40</v>
      </c>
      <c r="X165" s="23" t="s">
        <v>41</v>
      </c>
      <c r="Y165" s="23" t="s">
        <v>42</v>
      </c>
      <c r="Z165" s="23" t="s">
        <v>43</v>
      </c>
      <c r="AA165" s="23" t="s">
        <v>44</v>
      </c>
      <c r="AB165" s="24"/>
    </row>
    <row r="166" spans="1:28" s="1" customFormat="1" ht="12.75">
      <c r="A166" s="20" t="s">
        <v>428</v>
      </c>
      <c r="B166" s="21" t="s">
        <v>475</v>
      </c>
      <c r="C166" s="22" t="s">
        <v>471</v>
      </c>
      <c r="D166" s="22" t="s">
        <v>171</v>
      </c>
      <c r="E166" s="23" t="s">
        <v>66</v>
      </c>
      <c r="F166" s="23" t="s">
        <v>476</v>
      </c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 t="s">
        <v>179</v>
      </c>
      <c r="V166" s="23"/>
      <c r="W166" s="23" t="s">
        <v>180</v>
      </c>
      <c r="X166" s="23" t="s">
        <v>41</v>
      </c>
      <c r="Y166" s="23" t="s">
        <v>181</v>
      </c>
      <c r="Z166" s="23" t="s">
        <v>43</v>
      </c>
      <c r="AA166" s="23" t="s">
        <v>44</v>
      </c>
      <c r="AB166" s="24"/>
    </row>
    <row r="167" spans="1:28" s="1" customFormat="1" ht="12.75">
      <c r="A167" s="20" t="s">
        <v>428</v>
      </c>
      <c r="B167" s="21" t="s">
        <v>477</v>
      </c>
      <c r="C167" s="22" t="s">
        <v>471</v>
      </c>
      <c r="D167" s="22" t="s">
        <v>171</v>
      </c>
      <c r="E167" s="23" t="s">
        <v>66</v>
      </c>
      <c r="F167" s="23" t="s">
        <v>478</v>
      </c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 t="s">
        <v>179</v>
      </c>
      <c r="V167" s="23"/>
      <c r="W167" s="23" t="s">
        <v>180</v>
      </c>
      <c r="X167" s="23" t="s">
        <v>41</v>
      </c>
      <c r="Y167" s="23" t="s">
        <v>181</v>
      </c>
      <c r="Z167" s="23" t="s">
        <v>43</v>
      </c>
      <c r="AA167" s="23" t="s">
        <v>44</v>
      </c>
      <c r="AB167" s="24"/>
    </row>
    <row r="168" spans="1:28" s="1" customFormat="1" ht="12.75">
      <c r="A168" s="20" t="s">
        <v>428</v>
      </c>
      <c r="B168" s="21" t="s">
        <v>479</v>
      </c>
      <c r="C168" s="22" t="s">
        <v>471</v>
      </c>
      <c r="D168" s="22" t="s">
        <v>171</v>
      </c>
      <c r="E168" s="23" t="s">
        <v>185</v>
      </c>
      <c r="F168" s="23" t="s">
        <v>480</v>
      </c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 t="s">
        <v>179</v>
      </c>
      <c r="V168" s="23"/>
      <c r="W168" s="23" t="s">
        <v>180</v>
      </c>
      <c r="X168" s="23" t="s">
        <v>41</v>
      </c>
      <c r="Y168" s="23" t="s">
        <v>181</v>
      </c>
      <c r="Z168" s="23" t="s">
        <v>43</v>
      </c>
      <c r="AA168" s="23" t="s">
        <v>44</v>
      </c>
      <c r="AB168" s="24"/>
    </row>
    <row r="169" spans="1:28" s="1" customFormat="1" ht="12.75">
      <c r="A169" s="20" t="s">
        <v>428</v>
      </c>
      <c r="B169" s="21" t="s">
        <v>481</v>
      </c>
      <c r="C169" s="22" t="s">
        <v>482</v>
      </c>
      <c r="D169" s="22" t="s">
        <v>171</v>
      </c>
      <c r="E169" s="23" t="s">
        <v>172</v>
      </c>
      <c r="F169" s="23" t="s">
        <v>483</v>
      </c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 t="s">
        <v>38</v>
      </c>
      <c r="V169" s="23" t="s">
        <v>39</v>
      </c>
      <c r="W169" s="23" t="s">
        <v>40</v>
      </c>
      <c r="X169" s="23" t="s">
        <v>41</v>
      </c>
      <c r="Y169" s="23" t="s">
        <v>42</v>
      </c>
      <c r="Z169" s="23" t="s">
        <v>43</v>
      </c>
      <c r="AA169" s="23" t="s">
        <v>44</v>
      </c>
      <c r="AB169" s="24"/>
    </row>
    <row r="170" spans="1:28" s="1" customFormat="1" ht="12.75">
      <c r="A170" s="20" t="s">
        <v>428</v>
      </c>
      <c r="B170" s="21" t="s">
        <v>484</v>
      </c>
      <c r="C170" s="22" t="s">
        <v>482</v>
      </c>
      <c r="D170" s="22" t="s">
        <v>171</v>
      </c>
      <c r="E170" s="23" t="s">
        <v>175</v>
      </c>
      <c r="F170" s="23" t="s">
        <v>485</v>
      </c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 t="s">
        <v>38</v>
      </c>
      <c r="V170" s="23" t="s">
        <v>39</v>
      </c>
      <c r="W170" s="23" t="s">
        <v>40</v>
      </c>
      <c r="X170" s="23" t="s">
        <v>41</v>
      </c>
      <c r="Y170" s="23" t="s">
        <v>42</v>
      </c>
      <c r="Z170" s="23" t="s">
        <v>43</v>
      </c>
      <c r="AA170" s="23" t="s">
        <v>44</v>
      </c>
      <c r="AB170" s="24"/>
    </row>
    <row r="171" spans="1:28" s="1" customFormat="1" ht="12.75">
      <c r="A171" s="20" t="s">
        <v>428</v>
      </c>
      <c r="B171" s="21" t="s">
        <v>486</v>
      </c>
      <c r="C171" s="22" t="s">
        <v>482</v>
      </c>
      <c r="D171" s="22" t="s">
        <v>171</v>
      </c>
      <c r="E171" s="23" t="s">
        <v>66</v>
      </c>
      <c r="F171" s="23" t="s">
        <v>487</v>
      </c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 t="s">
        <v>179</v>
      </c>
      <c r="V171" s="23"/>
      <c r="W171" s="23" t="s">
        <v>180</v>
      </c>
      <c r="X171" s="23" t="s">
        <v>41</v>
      </c>
      <c r="Y171" s="23" t="s">
        <v>181</v>
      </c>
      <c r="Z171" s="23" t="s">
        <v>43</v>
      </c>
      <c r="AA171" s="23" t="s">
        <v>44</v>
      </c>
      <c r="AB171" s="24"/>
    </row>
    <row r="172" spans="1:28" s="1" customFormat="1" ht="12.75">
      <c r="A172" s="20" t="s">
        <v>428</v>
      </c>
      <c r="B172" s="21" t="s">
        <v>488</v>
      </c>
      <c r="C172" s="22" t="s">
        <v>482</v>
      </c>
      <c r="D172" s="22" t="s">
        <v>171</v>
      </c>
      <c r="E172" s="23" t="s">
        <v>66</v>
      </c>
      <c r="F172" s="23" t="s">
        <v>489</v>
      </c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 t="s">
        <v>179</v>
      </c>
      <c r="V172" s="23"/>
      <c r="W172" s="23" t="s">
        <v>180</v>
      </c>
      <c r="X172" s="23" t="s">
        <v>41</v>
      </c>
      <c r="Y172" s="23" t="s">
        <v>181</v>
      </c>
      <c r="Z172" s="23" t="s">
        <v>43</v>
      </c>
      <c r="AA172" s="23" t="s">
        <v>44</v>
      </c>
      <c r="AB172" s="24"/>
    </row>
    <row r="173" spans="1:28" s="1" customFormat="1" ht="12.75">
      <c r="A173" s="20" t="s">
        <v>428</v>
      </c>
      <c r="B173" s="21" t="s">
        <v>490</v>
      </c>
      <c r="C173" s="22" t="s">
        <v>482</v>
      </c>
      <c r="D173" s="22" t="s">
        <v>171</v>
      </c>
      <c r="E173" s="23" t="s">
        <v>185</v>
      </c>
      <c r="F173" s="23" t="s">
        <v>491</v>
      </c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 t="s">
        <v>179</v>
      </c>
      <c r="V173" s="23"/>
      <c r="W173" s="23" t="s">
        <v>180</v>
      </c>
      <c r="X173" s="23" t="s">
        <v>41</v>
      </c>
      <c r="Y173" s="23" t="s">
        <v>181</v>
      </c>
      <c r="Z173" s="23" t="s">
        <v>43</v>
      </c>
      <c r="AA173" s="23" t="s">
        <v>44</v>
      </c>
      <c r="AB173" s="24"/>
    </row>
    <row r="174" spans="1:28" s="1" customFormat="1" ht="12.75">
      <c r="A174" s="20" t="s">
        <v>428</v>
      </c>
      <c r="B174" s="21" t="s">
        <v>492</v>
      </c>
      <c r="C174" s="22" t="s">
        <v>493</v>
      </c>
      <c r="D174" s="22" t="s">
        <v>85</v>
      </c>
      <c r="E174" s="23" t="s">
        <v>200</v>
      </c>
      <c r="F174" s="23" t="s">
        <v>494</v>
      </c>
      <c r="G174" s="23" t="s">
        <v>88</v>
      </c>
      <c r="H174" s="23" t="s">
        <v>228</v>
      </c>
      <c r="I174" s="23" t="s">
        <v>203</v>
      </c>
      <c r="J174" s="23" t="s">
        <v>88</v>
      </c>
      <c r="K174" s="23" t="s">
        <v>228</v>
      </c>
      <c r="L174" s="23" t="s">
        <v>203</v>
      </c>
      <c r="M174" s="23"/>
      <c r="N174" s="23"/>
      <c r="O174" s="23"/>
      <c r="P174" s="23"/>
      <c r="Q174" s="23"/>
      <c r="R174" s="23"/>
      <c r="S174" s="23"/>
      <c r="T174" s="23"/>
      <c r="U174" s="23" t="s">
        <v>93</v>
      </c>
      <c r="V174" s="23" t="s">
        <v>39</v>
      </c>
      <c r="W174" s="23" t="s">
        <v>94</v>
      </c>
      <c r="X174" s="23" t="s">
        <v>41</v>
      </c>
      <c r="Y174" s="23" t="s">
        <v>95</v>
      </c>
      <c r="Z174" s="23" t="s">
        <v>43</v>
      </c>
      <c r="AA174" s="23" t="s">
        <v>44</v>
      </c>
      <c r="AB174" s="24"/>
    </row>
    <row r="175" spans="1:28" s="1" customFormat="1" ht="12.75">
      <c r="A175" s="20" t="s">
        <v>428</v>
      </c>
      <c r="B175" s="21" t="s">
        <v>495</v>
      </c>
      <c r="C175" s="22" t="s">
        <v>493</v>
      </c>
      <c r="D175" s="22" t="s">
        <v>41</v>
      </c>
      <c r="E175" s="23" t="s">
        <v>205</v>
      </c>
      <c r="F175" s="23" t="s">
        <v>494</v>
      </c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 t="s">
        <v>55</v>
      </c>
      <c r="V175" s="23"/>
      <c r="W175" s="23" t="s">
        <v>56</v>
      </c>
      <c r="X175" s="23" t="s">
        <v>41</v>
      </c>
      <c r="Y175" s="23" t="s">
        <v>56</v>
      </c>
      <c r="Z175" s="23" t="s">
        <v>43</v>
      </c>
      <c r="AA175" s="23" t="s">
        <v>44</v>
      </c>
      <c r="AB175" s="24"/>
    </row>
    <row r="176" spans="1:28" s="1" customFormat="1" ht="12.75">
      <c r="A176" s="20" t="s">
        <v>428</v>
      </c>
      <c r="B176" s="21" t="s">
        <v>496</v>
      </c>
      <c r="C176" s="22" t="s">
        <v>497</v>
      </c>
      <c r="D176" s="22" t="s">
        <v>85</v>
      </c>
      <c r="E176" s="23" t="s">
        <v>200</v>
      </c>
      <c r="F176" s="23" t="s">
        <v>498</v>
      </c>
      <c r="G176" s="23" t="s">
        <v>88</v>
      </c>
      <c r="H176" s="23" t="s">
        <v>228</v>
      </c>
      <c r="I176" s="23" t="s">
        <v>203</v>
      </c>
      <c r="J176" s="23" t="s">
        <v>88</v>
      </c>
      <c r="K176" s="23" t="s">
        <v>228</v>
      </c>
      <c r="L176" s="23" t="s">
        <v>203</v>
      </c>
      <c r="M176" s="23"/>
      <c r="N176" s="23"/>
      <c r="O176" s="23"/>
      <c r="P176" s="23"/>
      <c r="Q176" s="23"/>
      <c r="R176" s="23"/>
      <c r="S176" s="23"/>
      <c r="T176" s="23"/>
      <c r="U176" s="23" t="s">
        <v>93</v>
      </c>
      <c r="V176" s="23" t="s">
        <v>39</v>
      </c>
      <c r="W176" s="23" t="s">
        <v>94</v>
      </c>
      <c r="X176" s="23" t="s">
        <v>41</v>
      </c>
      <c r="Y176" s="23" t="s">
        <v>95</v>
      </c>
      <c r="Z176" s="23" t="s">
        <v>43</v>
      </c>
      <c r="AA176" s="23" t="s">
        <v>44</v>
      </c>
      <c r="AB176" s="24"/>
    </row>
    <row r="177" spans="1:28" s="1" customFormat="1" ht="12.75">
      <c r="A177" s="20" t="s">
        <v>428</v>
      </c>
      <c r="B177" s="21" t="s">
        <v>499</v>
      </c>
      <c r="C177" s="22" t="s">
        <v>497</v>
      </c>
      <c r="D177" s="22" t="s">
        <v>41</v>
      </c>
      <c r="E177" s="23" t="s">
        <v>205</v>
      </c>
      <c r="F177" s="23" t="s">
        <v>498</v>
      </c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 t="s">
        <v>55</v>
      </c>
      <c r="V177" s="23"/>
      <c r="W177" s="23" t="s">
        <v>56</v>
      </c>
      <c r="X177" s="23" t="s">
        <v>41</v>
      </c>
      <c r="Y177" s="23" t="s">
        <v>56</v>
      </c>
      <c r="Z177" s="23" t="s">
        <v>43</v>
      </c>
      <c r="AA177" s="23" t="s">
        <v>44</v>
      </c>
      <c r="AB177" s="24"/>
    </row>
    <row r="178" spans="1:28" s="1" customFormat="1" ht="12.75">
      <c r="A178" s="20" t="s">
        <v>428</v>
      </c>
      <c r="B178" s="21" t="s">
        <v>500</v>
      </c>
      <c r="C178" s="22" t="s">
        <v>497</v>
      </c>
      <c r="D178" s="22" t="s">
        <v>41</v>
      </c>
      <c r="E178" s="23" t="s">
        <v>231</v>
      </c>
      <c r="F178" s="23" t="s">
        <v>501</v>
      </c>
      <c r="G178" s="23"/>
      <c r="H178" s="23"/>
      <c r="I178" s="23"/>
      <c r="J178" s="23"/>
      <c r="K178" s="23"/>
      <c r="L178" s="23"/>
      <c r="M178" s="23" t="s">
        <v>233</v>
      </c>
      <c r="N178" s="23"/>
      <c r="O178" s="23"/>
      <c r="P178" s="23"/>
      <c r="Q178" s="23"/>
      <c r="R178" s="23"/>
      <c r="S178" s="23" t="s">
        <v>203</v>
      </c>
      <c r="T178" s="23"/>
      <c r="U178" s="23" t="s">
        <v>55</v>
      </c>
      <c r="V178" s="23"/>
      <c r="W178" s="23" t="s">
        <v>56</v>
      </c>
      <c r="X178" s="23" t="s">
        <v>41</v>
      </c>
      <c r="Y178" s="23" t="s">
        <v>56</v>
      </c>
      <c r="Z178" s="23" t="s">
        <v>43</v>
      </c>
      <c r="AA178" s="23" t="s">
        <v>44</v>
      </c>
      <c r="AB178" s="24"/>
    </row>
    <row r="179" spans="1:28" s="1" customFormat="1" ht="12.75">
      <c r="A179" s="20" t="s">
        <v>428</v>
      </c>
      <c r="B179" s="21" t="s">
        <v>502</v>
      </c>
      <c r="C179" s="22" t="s">
        <v>497</v>
      </c>
      <c r="D179" s="22" t="s">
        <v>41</v>
      </c>
      <c r="E179" s="23" t="s">
        <v>332</v>
      </c>
      <c r="F179" s="23" t="s">
        <v>503</v>
      </c>
      <c r="G179" s="23"/>
      <c r="H179" s="23"/>
      <c r="I179" s="23"/>
      <c r="J179" s="23"/>
      <c r="K179" s="23"/>
      <c r="L179" s="23"/>
      <c r="M179" s="23"/>
      <c r="N179" s="23"/>
      <c r="O179" s="23"/>
      <c r="P179" s="23" t="s">
        <v>281</v>
      </c>
      <c r="Q179" s="23"/>
      <c r="R179" s="23"/>
      <c r="S179" s="23" t="s">
        <v>203</v>
      </c>
      <c r="T179" s="23"/>
      <c r="U179" s="23" t="s">
        <v>55</v>
      </c>
      <c r="V179" s="23"/>
      <c r="W179" s="23" t="s">
        <v>56</v>
      </c>
      <c r="X179" s="23" t="s">
        <v>41</v>
      </c>
      <c r="Y179" s="23" t="s">
        <v>56</v>
      </c>
      <c r="Z179" s="23" t="s">
        <v>43</v>
      </c>
      <c r="AA179" s="23" t="s">
        <v>44</v>
      </c>
      <c r="AB179" s="24"/>
    </row>
    <row r="180" spans="1:28" s="1" customFormat="1" ht="12.75">
      <c r="A180" s="20" t="s">
        <v>428</v>
      </c>
      <c r="B180" s="21" t="s">
        <v>504</v>
      </c>
      <c r="C180" s="22" t="s">
        <v>505</v>
      </c>
      <c r="D180" s="22" t="s">
        <v>85</v>
      </c>
      <c r="E180" s="23" t="s">
        <v>200</v>
      </c>
      <c r="F180" s="23" t="s">
        <v>506</v>
      </c>
      <c r="G180" s="23" t="s">
        <v>88</v>
      </c>
      <c r="H180" s="23" t="s">
        <v>228</v>
      </c>
      <c r="I180" s="23" t="s">
        <v>203</v>
      </c>
      <c r="J180" s="23" t="s">
        <v>88</v>
      </c>
      <c r="K180" s="23" t="s">
        <v>228</v>
      </c>
      <c r="L180" s="23" t="s">
        <v>203</v>
      </c>
      <c r="M180" s="23"/>
      <c r="N180" s="23"/>
      <c r="O180" s="23"/>
      <c r="P180" s="23"/>
      <c r="Q180" s="23"/>
      <c r="R180" s="23"/>
      <c r="S180" s="23"/>
      <c r="T180" s="23"/>
      <c r="U180" s="23" t="s">
        <v>93</v>
      </c>
      <c r="V180" s="23" t="s">
        <v>39</v>
      </c>
      <c r="W180" s="23" t="s">
        <v>94</v>
      </c>
      <c r="X180" s="23" t="s">
        <v>41</v>
      </c>
      <c r="Y180" s="23" t="s">
        <v>95</v>
      </c>
      <c r="Z180" s="23" t="s">
        <v>43</v>
      </c>
      <c r="AA180" s="23" t="s">
        <v>44</v>
      </c>
      <c r="AB180" s="24"/>
    </row>
    <row r="181" spans="1:28" s="1" customFormat="1" ht="12.75">
      <c r="A181" s="20" t="s">
        <v>428</v>
      </c>
      <c r="B181" s="21" t="s">
        <v>507</v>
      </c>
      <c r="C181" s="22" t="s">
        <v>505</v>
      </c>
      <c r="D181" s="22" t="s">
        <v>41</v>
      </c>
      <c r="E181" s="23" t="s">
        <v>205</v>
      </c>
      <c r="F181" s="23" t="s">
        <v>506</v>
      </c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 t="s">
        <v>55</v>
      </c>
      <c r="V181" s="23"/>
      <c r="W181" s="23" t="s">
        <v>56</v>
      </c>
      <c r="X181" s="23" t="s">
        <v>41</v>
      </c>
      <c r="Y181" s="23" t="s">
        <v>56</v>
      </c>
      <c r="Z181" s="23" t="s">
        <v>43</v>
      </c>
      <c r="AA181" s="23" t="s">
        <v>44</v>
      </c>
      <c r="AB181" s="24"/>
    </row>
    <row r="182" spans="1:28" s="1" customFormat="1" ht="12.75">
      <c r="A182" s="20" t="s">
        <v>428</v>
      </c>
      <c r="B182" s="21" t="s">
        <v>508</v>
      </c>
      <c r="C182" s="22" t="s">
        <v>505</v>
      </c>
      <c r="D182" s="22" t="s">
        <v>41</v>
      </c>
      <c r="E182" s="23" t="s">
        <v>231</v>
      </c>
      <c r="F182" s="23" t="s">
        <v>509</v>
      </c>
      <c r="G182" s="23"/>
      <c r="H182" s="23"/>
      <c r="I182" s="23"/>
      <c r="J182" s="23"/>
      <c r="K182" s="23"/>
      <c r="L182" s="23"/>
      <c r="M182" s="23" t="s">
        <v>233</v>
      </c>
      <c r="N182" s="23"/>
      <c r="O182" s="23"/>
      <c r="P182" s="23"/>
      <c r="Q182" s="23"/>
      <c r="R182" s="23"/>
      <c r="S182" s="23" t="s">
        <v>203</v>
      </c>
      <c r="T182" s="23"/>
      <c r="U182" s="23" t="s">
        <v>55</v>
      </c>
      <c r="V182" s="23"/>
      <c r="W182" s="23" t="s">
        <v>56</v>
      </c>
      <c r="X182" s="23" t="s">
        <v>41</v>
      </c>
      <c r="Y182" s="23" t="s">
        <v>56</v>
      </c>
      <c r="Z182" s="23" t="s">
        <v>43</v>
      </c>
      <c r="AA182" s="23" t="s">
        <v>44</v>
      </c>
      <c r="AB182" s="24"/>
    </row>
    <row r="183" spans="1:28" s="1" customFormat="1" ht="12.75">
      <c r="A183" s="20" t="s">
        <v>428</v>
      </c>
      <c r="B183" s="21" t="s">
        <v>510</v>
      </c>
      <c r="C183" s="22" t="s">
        <v>505</v>
      </c>
      <c r="D183" s="22" t="s">
        <v>41</v>
      </c>
      <c r="E183" s="23" t="s">
        <v>332</v>
      </c>
      <c r="F183" s="23" t="s">
        <v>511</v>
      </c>
      <c r="G183" s="23"/>
      <c r="H183" s="23"/>
      <c r="I183" s="23"/>
      <c r="J183" s="23"/>
      <c r="K183" s="23"/>
      <c r="L183" s="23"/>
      <c r="M183" s="23"/>
      <c r="N183" s="23"/>
      <c r="O183" s="23"/>
      <c r="P183" s="23" t="s">
        <v>281</v>
      </c>
      <c r="Q183" s="23"/>
      <c r="R183" s="23"/>
      <c r="S183" s="23" t="s">
        <v>203</v>
      </c>
      <c r="T183" s="23"/>
      <c r="U183" s="23" t="s">
        <v>55</v>
      </c>
      <c r="V183" s="23"/>
      <c r="W183" s="23" t="s">
        <v>56</v>
      </c>
      <c r="X183" s="23" t="s">
        <v>41</v>
      </c>
      <c r="Y183" s="23" t="s">
        <v>56</v>
      </c>
      <c r="Z183" s="23" t="s">
        <v>43</v>
      </c>
      <c r="AA183" s="23" t="s">
        <v>44</v>
      </c>
      <c r="AB183" s="24"/>
    </row>
    <row r="184" spans="1:28" s="1" customFormat="1" ht="12.75">
      <c r="A184" s="20" t="s">
        <v>428</v>
      </c>
      <c r="B184" s="21" t="s">
        <v>512</v>
      </c>
      <c r="C184" s="22" t="s">
        <v>513</v>
      </c>
      <c r="D184" s="22" t="s">
        <v>85</v>
      </c>
      <c r="E184" s="23" t="s">
        <v>208</v>
      </c>
      <c r="F184" s="23" t="s">
        <v>514</v>
      </c>
      <c r="G184" s="23" t="s">
        <v>88</v>
      </c>
      <c r="H184" s="23" t="s">
        <v>515</v>
      </c>
      <c r="I184" s="23" t="s">
        <v>211</v>
      </c>
      <c r="J184" s="23" t="s">
        <v>88</v>
      </c>
      <c r="K184" s="23" t="s">
        <v>515</v>
      </c>
      <c r="L184" s="23" t="s">
        <v>211</v>
      </c>
      <c r="M184" s="23"/>
      <c r="N184" s="23"/>
      <c r="O184" s="23"/>
      <c r="P184" s="23"/>
      <c r="Q184" s="23"/>
      <c r="R184" s="23"/>
      <c r="S184" s="23"/>
      <c r="T184" s="23"/>
      <c r="U184" s="23" t="s">
        <v>93</v>
      </c>
      <c r="V184" s="23" t="s">
        <v>39</v>
      </c>
      <c r="W184" s="23" t="s">
        <v>94</v>
      </c>
      <c r="X184" s="23" t="s">
        <v>41</v>
      </c>
      <c r="Y184" s="23" t="s">
        <v>95</v>
      </c>
      <c r="Z184" s="23" t="s">
        <v>43</v>
      </c>
      <c r="AA184" s="23" t="s">
        <v>44</v>
      </c>
      <c r="AB184" s="24"/>
    </row>
    <row r="185" spans="1:28" s="1" customFormat="1" ht="12.75">
      <c r="A185" s="20" t="s">
        <v>428</v>
      </c>
      <c r="B185" s="21" t="s">
        <v>516</v>
      </c>
      <c r="C185" s="22" t="s">
        <v>513</v>
      </c>
      <c r="D185" s="22" t="s">
        <v>41</v>
      </c>
      <c r="E185" s="23" t="s">
        <v>214</v>
      </c>
      <c r="F185" s="23" t="s">
        <v>514</v>
      </c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 t="s">
        <v>55</v>
      </c>
      <c r="V185" s="23"/>
      <c r="W185" s="23" t="s">
        <v>56</v>
      </c>
      <c r="X185" s="23" t="s">
        <v>41</v>
      </c>
      <c r="Y185" s="23" t="s">
        <v>56</v>
      </c>
      <c r="Z185" s="23" t="s">
        <v>43</v>
      </c>
      <c r="AA185" s="23" t="s">
        <v>44</v>
      </c>
      <c r="AB185" s="24"/>
    </row>
    <row r="186" spans="1:28" s="1" customFormat="1" ht="12.75">
      <c r="A186" s="20" t="s">
        <v>428</v>
      </c>
      <c r="B186" s="21" t="s">
        <v>517</v>
      </c>
      <c r="C186" s="22" t="s">
        <v>513</v>
      </c>
      <c r="D186" s="22" t="s">
        <v>41</v>
      </c>
      <c r="E186" s="23" t="s">
        <v>216</v>
      </c>
      <c r="F186" s="23" t="s">
        <v>518</v>
      </c>
      <c r="G186" s="23"/>
      <c r="H186" s="23"/>
      <c r="I186" s="23"/>
      <c r="J186" s="23"/>
      <c r="K186" s="23"/>
      <c r="L186" s="23"/>
      <c r="M186" s="23" t="s">
        <v>519</v>
      </c>
      <c r="N186" s="23"/>
      <c r="O186" s="23"/>
      <c r="P186" s="23"/>
      <c r="Q186" s="23"/>
      <c r="R186" s="23"/>
      <c r="S186" s="23" t="s">
        <v>211</v>
      </c>
      <c r="T186" s="23"/>
      <c r="U186" s="23" t="s">
        <v>55</v>
      </c>
      <c r="V186" s="23"/>
      <c r="W186" s="23" t="s">
        <v>56</v>
      </c>
      <c r="X186" s="23" t="s">
        <v>41</v>
      </c>
      <c r="Y186" s="23" t="s">
        <v>56</v>
      </c>
      <c r="Z186" s="23" t="s">
        <v>43</v>
      </c>
      <c r="AA186" s="23" t="s">
        <v>44</v>
      </c>
      <c r="AB186" s="24"/>
    </row>
    <row r="187" spans="1:28" s="1" customFormat="1" ht="12.75">
      <c r="A187" s="20" t="s">
        <v>428</v>
      </c>
      <c r="B187" s="21" t="s">
        <v>520</v>
      </c>
      <c r="C187" s="22" t="s">
        <v>521</v>
      </c>
      <c r="D187" s="22" t="s">
        <v>85</v>
      </c>
      <c r="E187" s="23" t="s">
        <v>208</v>
      </c>
      <c r="F187" s="23" t="s">
        <v>522</v>
      </c>
      <c r="G187" s="23" t="s">
        <v>88</v>
      </c>
      <c r="H187" s="23" t="s">
        <v>515</v>
      </c>
      <c r="I187" s="23" t="s">
        <v>211</v>
      </c>
      <c r="J187" s="23" t="s">
        <v>88</v>
      </c>
      <c r="K187" s="23" t="s">
        <v>515</v>
      </c>
      <c r="L187" s="23" t="s">
        <v>211</v>
      </c>
      <c r="M187" s="23"/>
      <c r="N187" s="23"/>
      <c r="O187" s="23"/>
      <c r="P187" s="23"/>
      <c r="Q187" s="23"/>
      <c r="R187" s="23"/>
      <c r="S187" s="23"/>
      <c r="T187" s="23"/>
      <c r="U187" s="23" t="s">
        <v>93</v>
      </c>
      <c r="V187" s="23" t="s">
        <v>39</v>
      </c>
      <c r="W187" s="23" t="s">
        <v>94</v>
      </c>
      <c r="X187" s="23" t="s">
        <v>41</v>
      </c>
      <c r="Y187" s="23" t="s">
        <v>95</v>
      </c>
      <c r="Z187" s="23" t="s">
        <v>43</v>
      </c>
      <c r="AA187" s="23" t="s">
        <v>44</v>
      </c>
      <c r="AB187" s="24"/>
    </row>
    <row r="188" spans="1:28" s="1" customFormat="1" ht="12.75">
      <c r="A188" s="20" t="s">
        <v>428</v>
      </c>
      <c r="B188" s="21" t="s">
        <v>523</v>
      </c>
      <c r="C188" s="22" t="s">
        <v>521</v>
      </c>
      <c r="D188" s="22" t="s">
        <v>41</v>
      </c>
      <c r="E188" s="23" t="s">
        <v>214</v>
      </c>
      <c r="F188" s="23" t="s">
        <v>522</v>
      </c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 t="s">
        <v>55</v>
      </c>
      <c r="V188" s="23"/>
      <c r="W188" s="23" t="s">
        <v>56</v>
      </c>
      <c r="X188" s="23" t="s">
        <v>41</v>
      </c>
      <c r="Y188" s="23" t="s">
        <v>56</v>
      </c>
      <c r="Z188" s="23" t="s">
        <v>43</v>
      </c>
      <c r="AA188" s="23" t="s">
        <v>44</v>
      </c>
      <c r="AB188" s="24"/>
    </row>
    <row r="189" spans="1:28" s="1" customFormat="1" ht="12.75">
      <c r="A189" s="20" t="s">
        <v>428</v>
      </c>
      <c r="B189" s="21" t="s">
        <v>524</v>
      </c>
      <c r="C189" s="22" t="s">
        <v>521</v>
      </c>
      <c r="D189" s="22" t="s">
        <v>41</v>
      </c>
      <c r="E189" s="23" t="s">
        <v>216</v>
      </c>
      <c r="F189" s="23" t="s">
        <v>525</v>
      </c>
      <c r="G189" s="23"/>
      <c r="H189" s="23"/>
      <c r="I189" s="23"/>
      <c r="J189" s="23"/>
      <c r="K189" s="23"/>
      <c r="L189" s="23"/>
      <c r="M189" s="23" t="s">
        <v>519</v>
      </c>
      <c r="N189" s="23"/>
      <c r="O189" s="23"/>
      <c r="P189" s="23"/>
      <c r="Q189" s="23"/>
      <c r="R189" s="23"/>
      <c r="S189" s="23" t="s">
        <v>211</v>
      </c>
      <c r="T189" s="23"/>
      <c r="U189" s="23" t="s">
        <v>55</v>
      </c>
      <c r="V189" s="23"/>
      <c r="W189" s="23" t="s">
        <v>56</v>
      </c>
      <c r="X189" s="23" t="s">
        <v>41</v>
      </c>
      <c r="Y189" s="23" t="s">
        <v>56</v>
      </c>
      <c r="Z189" s="23" t="s">
        <v>43</v>
      </c>
      <c r="AA189" s="23" t="s">
        <v>44</v>
      </c>
      <c r="AB189" s="24"/>
    </row>
    <row r="190" spans="1:28" s="1" customFormat="1" ht="12.75">
      <c r="A190" s="20" t="s">
        <v>428</v>
      </c>
      <c r="B190" s="21" t="s">
        <v>526</v>
      </c>
      <c r="C190" s="22" t="s">
        <v>527</v>
      </c>
      <c r="D190" s="22" t="s">
        <v>41</v>
      </c>
      <c r="E190" s="23" t="s">
        <v>205</v>
      </c>
      <c r="F190" s="23" t="s">
        <v>528</v>
      </c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 t="s">
        <v>55</v>
      </c>
      <c r="V190" s="23"/>
      <c r="W190" s="23" t="s">
        <v>56</v>
      </c>
      <c r="X190" s="23" t="s">
        <v>41</v>
      </c>
      <c r="Y190" s="23" t="s">
        <v>56</v>
      </c>
      <c r="Z190" s="23" t="s">
        <v>43</v>
      </c>
      <c r="AA190" s="23" t="s">
        <v>44</v>
      </c>
      <c r="AB190" s="24"/>
    </row>
    <row r="191" spans="1:28" s="1" customFormat="1" ht="12.75">
      <c r="A191" s="20" t="s">
        <v>428</v>
      </c>
      <c r="B191" s="21" t="s">
        <v>529</v>
      </c>
      <c r="C191" s="22" t="s">
        <v>527</v>
      </c>
      <c r="D191" s="22" t="s">
        <v>85</v>
      </c>
      <c r="E191" s="23" t="s">
        <v>200</v>
      </c>
      <c r="F191" s="23" t="s">
        <v>528</v>
      </c>
      <c r="G191" s="23" t="s">
        <v>88</v>
      </c>
      <c r="H191" s="23" t="s">
        <v>244</v>
      </c>
      <c r="I191" s="23" t="s">
        <v>203</v>
      </c>
      <c r="J191" s="23" t="s">
        <v>88</v>
      </c>
      <c r="K191" s="23" t="s">
        <v>244</v>
      </c>
      <c r="L191" s="23" t="s">
        <v>203</v>
      </c>
      <c r="M191" s="23"/>
      <c r="N191" s="23"/>
      <c r="O191" s="23"/>
      <c r="P191" s="23"/>
      <c r="Q191" s="23"/>
      <c r="R191" s="23"/>
      <c r="S191" s="23"/>
      <c r="T191" s="23"/>
      <c r="U191" s="23" t="s">
        <v>93</v>
      </c>
      <c r="V191" s="23" t="s">
        <v>39</v>
      </c>
      <c r="W191" s="23" t="s">
        <v>94</v>
      </c>
      <c r="X191" s="23" t="s">
        <v>41</v>
      </c>
      <c r="Y191" s="23" t="s">
        <v>95</v>
      </c>
      <c r="Z191" s="23" t="s">
        <v>43</v>
      </c>
      <c r="AA191" s="23" t="s">
        <v>44</v>
      </c>
      <c r="AB191" s="24"/>
    </row>
    <row r="192" spans="1:28" s="1" customFormat="1" ht="12.75">
      <c r="A192" s="20" t="s">
        <v>428</v>
      </c>
      <c r="B192" s="21" t="s">
        <v>530</v>
      </c>
      <c r="C192" s="22" t="s">
        <v>527</v>
      </c>
      <c r="D192" s="22" t="s">
        <v>41</v>
      </c>
      <c r="E192" s="23" t="s">
        <v>231</v>
      </c>
      <c r="F192" s="23" t="s">
        <v>531</v>
      </c>
      <c r="G192" s="23"/>
      <c r="H192" s="23"/>
      <c r="I192" s="23"/>
      <c r="J192" s="23"/>
      <c r="K192" s="23"/>
      <c r="L192" s="23"/>
      <c r="M192" s="23" t="s">
        <v>210</v>
      </c>
      <c r="N192" s="23"/>
      <c r="O192" s="23"/>
      <c r="P192" s="23"/>
      <c r="Q192" s="23"/>
      <c r="R192" s="23"/>
      <c r="S192" s="23" t="s">
        <v>203</v>
      </c>
      <c r="T192" s="23"/>
      <c r="U192" s="23" t="s">
        <v>55</v>
      </c>
      <c r="V192" s="23"/>
      <c r="W192" s="23" t="s">
        <v>56</v>
      </c>
      <c r="X192" s="23" t="s">
        <v>41</v>
      </c>
      <c r="Y192" s="23" t="s">
        <v>56</v>
      </c>
      <c r="Z192" s="23" t="s">
        <v>43</v>
      </c>
      <c r="AA192" s="23" t="s">
        <v>44</v>
      </c>
      <c r="AB192" s="24"/>
    </row>
    <row r="193" spans="1:28" s="1" customFormat="1" ht="12.75">
      <c r="A193" s="20" t="s">
        <v>428</v>
      </c>
      <c r="B193" s="21" t="s">
        <v>532</v>
      </c>
      <c r="C193" s="22" t="s">
        <v>527</v>
      </c>
      <c r="D193" s="22" t="s">
        <v>41</v>
      </c>
      <c r="E193" s="23" t="s">
        <v>332</v>
      </c>
      <c r="F193" s="23" t="s">
        <v>533</v>
      </c>
      <c r="G193" s="23"/>
      <c r="H193" s="23"/>
      <c r="I193" s="23"/>
      <c r="J193" s="23"/>
      <c r="K193" s="23"/>
      <c r="L193" s="23"/>
      <c r="M193" s="23"/>
      <c r="N193" s="23"/>
      <c r="O193" s="23"/>
      <c r="P193" s="23" t="s">
        <v>534</v>
      </c>
      <c r="Q193" s="23"/>
      <c r="R193" s="23"/>
      <c r="S193" s="23" t="s">
        <v>203</v>
      </c>
      <c r="T193" s="23"/>
      <c r="U193" s="23" t="s">
        <v>55</v>
      </c>
      <c r="V193" s="23"/>
      <c r="W193" s="23" t="s">
        <v>56</v>
      </c>
      <c r="X193" s="23" t="s">
        <v>41</v>
      </c>
      <c r="Y193" s="23" t="s">
        <v>56</v>
      </c>
      <c r="Z193" s="23" t="s">
        <v>43</v>
      </c>
      <c r="AA193" s="23" t="s">
        <v>44</v>
      </c>
      <c r="AB193" s="24"/>
    </row>
    <row r="194" spans="1:28" s="1" customFormat="1" ht="12.75">
      <c r="A194" s="20" t="s">
        <v>428</v>
      </c>
      <c r="B194" s="21" t="s">
        <v>535</v>
      </c>
      <c r="C194" s="22" t="s">
        <v>536</v>
      </c>
      <c r="D194" s="22" t="s">
        <v>41</v>
      </c>
      <c r="E194" s="23" t="s">
        <v>205</v>
      </c>
      <c r="F194" s="23" t="s">
        <v>537</v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 t="s">
        <v>55</v>
      </c>
      <c r="V194" s="23"/>
      <c r="W194" s="23" t="s">
        <v>56</v>
      </c>
      <c r="X194" s="23" t="s">
        <v>41</v>
      </c>
      <c r="Y194" s="23" t="s">
        <v>56</v>
      </c>
      <c r="Z194" s="23" t="s">
        <v>43</v>
      </c>
      <c r="AA194" s="23" t="s">
        <v>44</v>
      </c>
      <c r="AB194" s="24"/>
    </row>
    <row r="195" spans="1:28" s="1" customFormat="1" ht="12.75">
      <c r="A195" s="20" t="s">
        <v>428</v>
      </c>
      <c r="B195" s="21" t="s">
        <v>538</v>
      </c>
      <c r="C195" s="22" t="s">
        <v>536</v>
      </c>
      <c r="D195" s="22" t="s">
        <v>85</v>
      </c>
      <c r="E195" s="23" t="s">
        <v>200</v>
      </c>
      <c r="F195" s="23" t="s">
        <v>537</v>
      </c>
      <c r="G195" s="23" t="s">
        <v>88</v>
      </c>
      <c r="H195" s="23" t="s">
        <v>244</v>
      </c>
      <c r="I195" s="23" t="s">
        <v>211</v>
      </c>
      <c r="J195" s="23" t="s">
        <v>88</v>
      </c>
      <c r="K195" s="23" t="s">
        <v>244</v>
      </c>
      <c r="L195" s="23" t="s">
        <v>203</v>
      </c>
      <c r="M195" s="23"/>
      <c r="N195" s="23"/>
      <c r="O195" s="23"/>
      <c r="P195" s="23"/>
      <c r="Q195" s="23"/>
      <c r="R195" s="23"/>
      <c r="S195" s="23"/>
      <c r="T195" s="23"/>
      <c r="U195" s="23" t="s">
        <v>93</v>
      </c>
      <c r="V195" s="23" t="s">
        <v>39</v>
      </c>
      <c r="W195" s="23" t="s">
        <v>94</v>
      </c>
      <c r="X195" s="23" t="s">
        <v>41</v>
      </c>
      <c r="Y195" s="23" t="s">
        <v>95</v>
      </c>
      <c r="Z195" s="23" t="s">
        <v>43</v>
      </c>
      <c r="AA195" s="23" t="s">
        <v>44</v>
      </c>
      <c r="AB195" s="24"/>
    </row>
    <row r="196" spans="1:28" s="1" customFormat="1" ht="12.75">
      <c r="A196" s="20" t="s">
        <v>428</v>
      </c>
      <c r="B196" s="21" t="s">
        <v>539</v>
      </c>
      <c r="C196" s="22" t="s">
        <v>536</v>
      </c>
      <c r="D196" s="22" t="s">
        <v>41</v>
      </c>
      <c r="E196" s="23" t="s">
        <v>231</v>
      </c>
      <c r="F196" s="23" t="s">
        <v>540</v>
      </c>
      <c r="G196" s="23"/>
      <c r="H196" s="23"/>
      <c r="I196" s="23"/>
      <c r="J196" s="23"/>
      <c r="K196" s="23"/>
      <c r="L196" s="23"/>
      <c r="M196" s="23" t="s">
        <v>210</v>
      </c>
      <c r="N196" s="23"/>
      <c r="O196" s="23"/>
      <c r="P196" s="23"/>
      <c r="Q196" s="23"/>
      <c r="R196" s="23"/>
      <c r="S196" s="23" t="s">
        <v>203</v>
      </c>
      <c r="T196" s="23"/>
      <c r="U196" s="23" t="s">
        <v>55</v>
      </c>
      <c r="V196" s="23"/>
      <c r="W196" s="23" t="s">
        <v>56</v>
      </c>
      <c r="X196" s="23" t="s">
        <v>41</v>
      </c>
      <c r="Y196" s="23" t="s">
        <v>56</v>
      </c>
      <c r="Z196" s="23" t="s">
        <v>43</v>
      </c>
      <c r="AA196" s="23" t="s">
        <v>44</v>
      </c>
      <c r="AB196" s="24"/>
    </row>
    <row r="197" spans="1:28" s="1" customFormat="1" ht="12.75">
      <c r="A197" s="20" t="s">
        <v>428</v>
      </c>
      <c r="B197" s="21" t="s">
        <v>541</v>
      </c>
      <c r="C197" s="22" t="s">
        <v>536</v>
      </c>
      <c r="D197" s="22" t="s">
        <v>41</v>
      </c>
      <c r="E197" s="23" t="s">
        <v>332</v>
      </c>
      <c r="F197" s="23" t="s">
        <v>542</v>
      </c>
      <c r="G197" s="23"/>
      <c r="H197" s="23"/>
      <c r="I197" s="23"/>
      <c r="J197" s="23"/>
      <c r="K197" s="23"/>
      <c r="L197" s="23"/>
      <c r="M197" s="23"/>
      <c r="N197" s="23"/>
      <c r="O197" s="23"/>
      <c r="P197" s="23" t="s">
        <v>534</v>
      </c>
      <c r="Q197" s="23"/>
      <c r="R197" s="23"/>
      <c r="S197" s="23" t="s">
        <v>203</v>
      </c>
      <c r="T197" s="23"/>
      <c r="U197" s="23" t="s">
        <v>55</v>
      </c>
      <c r="V197" s="23"/>
      <c r="W197" s="23" t="s">
        <v>56</v>
      </c>
      <c r="X197" s="23" t="s">
        <v>41</v>
      </c>
      <c r="Y197" s="23" t="s">
        <v>56</v>
      </c>
      <c r="Z197" s="23" t="s">
        <v>43</v>
      </c>
      <c r="AA197" s="23" t="s">
        <v>44</v>
      </c>
      <c r="AB197" s="24"/>
    </row>
    <row r="198" spans="1:28" s="1" customFormat="1" ht="12.75">
      <c r="A198" s="20" t="s">
        <v>428</v>
      </c>
      <c r="B198" s="21" t="s">
        <v>543</v>
      </c>
      <c r="C198" s="22" t="s">
        <v>544</v>
      </c>
      <c r="D198" s="22" t="s">
        <v>85</v>
      </c>
      <c r="E198" s="23" t="s">
        <v>242</v>
      </c>
      <c r="F198" s="23" t="s">
        <v>545</v>
      </c>
      <c r="G198" s="23" t="s">
        <v>88</v>
      </c>
      <c r="H198" s="23" t="s">
        <v>244</v>
      </c>
      <c r="I198" s="23" t="s">
        <v>245</v>
      </c>
      <c r="J198" s="23" t="s">
        <v>88</v>
      </c>
      <c r="K198" s="23" t="s">
        <v>244</v>
      </c>
      <c r="L198" s="23" t="s">
        <v>245</v>
      </c>
      <c r="M198" s="23"/>
      <c r="N198" s="23"/>
      <c r="O198" s="23"/>
      <c r="P198" s="23"/>
      <c r="Q198" s="23"/>
      <c r="R198" s="23"/>
      <c r="S198" s="23"/>
      <c r="T198" s="23"/>
      <c r="U198" s="23" t="s">
        <v>93</v>
      </c>
      <c r="V198" s="23" t="s">
        <v>39</v>
      </c>
      <c r="W198" s="23" t="s">
        <v>94</v>
      </c>
      <c r="X198" s="23" t="s">
        <v>41</v>
      </c>
      <c r="Y198" s="23" t="s">
        <v>95</v>
      </c>
      <c r="Z198" s="23" t="s">
        <v>43</v>
      </c>
      <c r="AA198" s="23" t="s">
        <v>44</v>
      </c>
      <c r="AB198" s="24"/>
    </row>
    <row r="199" spans="1:28" s="1" customFormat="1" ht="12.75">
      <c r="A199" s="20" t="s">
        <v>428</v>
      </c>
      <c r="B199" s="21" t="s">
        <v>546</v>
      </c>
      <c r="C199" s="22" t="s">
        <v>544</v>
      </c>
      <c r="D199" s="22" t="s">
        <v>41</v>
      </c>
      <c r="E199" s="23" t="s">
        <v>247</v>
      </c>
      <c r="F199" s="23" t="s">
        <v>545</v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 t="s">
        <v>55</v>
      </c>
      <c r="V199" s="23"/>
      <c r="W199" s="23" t="s">
        <v>56</v>
      </c>
      <c r="X199" s="23" t="s">
        <v>41</v>
      </c>
      <c r="Y199" s="23" t="s">
        <v>56</v>
      </c>
      <c r="Z199" s="23" t="s">
        <v>43</v>
      </c>
      <c r="AA199" s="23" t="s">
        <v>44</v>
      </c>
      <c r="AB199" s="24"/>
    </row>
    <row r="200" spans="1:28" s="1" customFormat="1" ht="12.75">
      <c r="A200" s="20" t="s">
        <v>428</v>
      </c>
      <c r="B200" s="21" t="s">
        <v>547</v>
      </c>
      <c r="C200" s="22" t="s">
        <v>548</v>
      </c>
      <c r="D200" s="22" t="s">
        <v>85</v>
      </c>
      <c r="E200" s="23" t="s">
        <v>242</v>
      </c>
      <c r="F200" s="23" t="s">
        <v>549</v>
      </c>
      <c r="G200" s="23" t="s">
        <v>88</v>
      </c>
      <c r="H200" s="23" t="s">
        <v>550</v>
      </c>
      <c r="I200" s="23" t="s">
        <v>245</v>
      </c>
      <c r="J200" s="23" t="s">
        <v>88</v>
      </c>
      <c r="K200" s="23" t="s">
        <v>550</v>
      </c>
      <c r="L200" s="23" t="s">
        <v>245</v>
      </c>
      <c r="M200" s="23"/>
      <c r="N200" s="23"/>
      <c r="O200" s="23"/>
      <c r="P200" s="23"/>
      <c r="Q200" s="23"/>
      <c r="R200" s="23"/>
      <c r="S200" s="23"/>
      <c r="T200" s="23"/>
      <c r="U200" s="23" t="s">
        <v>93</v>
      </c>
      <c r="V200" s="23" t="s">
        <v>39</v>
      </c>
      <c r="W200" s="23" t="s">
        <v>94</v>
      </c>
      <c r="X200" s="23" t="s">
        <v>41</v>
      </c>
      <c r="Y200" s="23" t="s">
        <v>95</v>
      </c>
      <c r="Z200" s="23" t="s">
        <v>43</v>
      </c>
      <c r="AA200" s="23" t="s">
        <v>44</v>
      </c>
      <c r="AB200" s="24"/>
    </row>
    <row r="201" spans="1:28" s="1" customFormat="1" ht="12.75">
      <c r="A201" s="20" t="s">
        <v>428</v>
      </c>
      <c r="B201" s="21" t="s">
        <v>551</v>
      </c>
      <c r="C201" s="22" t="s">
        <v>548</v>
      </c>
      <c r="D201" s="22" t="s">
        <v>41</v>
      </c>
      <c r="E201" s="23" t="s">
        <v>247</v>
      </c>
      <c r="F201" s="23" t="s">
        <v>549</v>
      </c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 t="s">
        <v>55</v>
      </c>
      <c r="V201" s="23"/>
      <c r="W201" s="23" t="s">
        <v>56</v>
      </c>
      <c r="X201" s="23" t="s">
        <v>41</v>
      </c>
      <c r="Y201" s="23" t="s">
        <v>56</v>
      </c>
      <c r="Z201" s="23" t="s">
        <v>43</v>
      </c>
      <c r="AA201" s="23" t="s">
        <v>44</v>
      </c>
      <c r="AB201" s="24"/>
    </row>
    <row r="202" spans="1:28" s="1" customFormat="1" ht="12.75">
      <c r="A202" s="20" t="s">
        <v>428</v>
      </c>
      <c r="B202" s="21" t="s">
        <v>552</v>
      </c>
      <c r="C202" s="22" t="s">
        <v>548</v>
      </c>
      <c r="D202" s="22" t="s">
        <v>41</v>
      </c>
      <c r="E202" s="23" t="s">
        <v>406</v>
      </c>
      <c r="F202" s="23" t="s">
        <v>553</v>
      </c>
      <c r="G202" s="23"/>
      <c r="H202" s="23"/>
      <c r="I202" s="23"/>
      <c r="J202" s="23"/>
      <c r="K202" s="23"/>
      <c r="L202" s="23"/>
      <c r="M202" s="23" t="s">
        <v>554</v>
      </c>
      <c r="N202" s="23"/>
      <c r="O202" s="23"/>
      <c r="P202" s="23"/>
      <c r="Q202" s="23"/>
      <c r="R202" s="23"/>
      <c r="S202" s="23" t="s">
        <v>245</v>
      </c>
      <c r="T202" s="23"/>
      <c r="U202" s="23" t="s">
        <v>55</v>
      </c>
      <c r="V202" s="23"/>
      <c r="W202" s="23" t="s">
        <v>56</v>
      </c>
      <c r="X202" s="23" t="s">
        <v>41</v>
      </c>
      <c r="Y202" s="23" t="s">
        <v>56</v>
      </c>
      <c r="Z202" s="23" t="s">
        <v>43</v>
      </c>
      <c r="AA202" s="23" t="s">
        <v>44</v>
      </c>
      <c r="AB202" s="24"/>
    </row>
    <row r="203" spans="1:28" s="1" customFormat="1" ht="12.75">
      <c r="A203" s="20" t="s">
        <v>428</v>
      </c>
      <c r="B203" s="21" t="s">
        <v>555</v>
      </c>
      <c r="C203" s="22" t="s">
        <v>548</v>
      </c>
      <c r="D203" s="22" t="s">
        <v>41</v>
      </c>
      <c r="E203" s="23" t="s">
        <v>406</v>
      </c>
      <c r="F203" s="23" t="s">
        <v>553</v>
      </c>
      <c r="G203" s="23"/>
      <c r="H203" s="23"/>
      <c r="I203" s="23"/>
      <c r="J203" s="23"/>
      <c r="K203" s="23"/>
      <c r="L203" s="23"/>
      <c r="M203" s="23" t="s">
        <v>408</v>
      </c>
      <c r="N203" s="23"/>
      <c r="O203" s="23"/>
      <c r="P203" s="23"/>
      <c r="Q203" s="23"/>
      <c r="R203" s="23"/>
      <c r="S203" s="23" t="s">
        <v>245</v>
      </c>
      <c r="T203" s="23" t="s">
        <v>368</v>
      </c>
      <c r="U203" s="23" t="s">
        <v>55</v>
      </c>
      <c r="V203" s="23"/>
      <c r="W203" s="23" t="s">
        <v>56</v>
      </c>
      <c r="X203" s="23" t="s">
        <v>41</v>
      </c>
      <c r="Y203" s="23" t="s">
        <v>56</v>
      </c>
      <c r="Z203" s="23" t="s">
        <v>43</v>
      </c>
      <c r="AA203" s="23" t="s">
        <v>44</v>
      </c>
      <c r="AB203" s="24"/>
    </row>
    <row r="204" spans="1:28" s="1" customFormat="1" ht="12.75">
      <c r="A204" s="20" t="s">
        <v>428</v>
      </c>
      <c r="B204" s="21" t="s">
        <v>556</v>
      </c>
      <c r="C204" s="22" t="s">
        <v>557</v>
      </c>
      <c r="D204" s="22" t="s">
        <v>85</v>
      </c>
      <c r="E204" s="23" t="s">
        <v>242</v>
      </c>
      <c r="F204" s="23" t="s">
        <v>558</v>
      </c>
      <c r="G204" s="23" t="s">
        <v>88</v>
      </c>
      <c r="H204" s="23" t="s">
        <v>550</v>
      </c>
      <c r="I204" s="23" t="s">
        <v>245</v>
      </c>
      <c r="J204" s="23" t="s">
        <v>88</v>
      </c>
      <c r="K204" s="23" t="s">
        <v>550</v>
      </c>
      <c r="L204" s="23" t="s">
        <v>245</v>
      </c>
      <c r="M204" s="23"/>
      <c r="N204" s="23"/>
      <c r="O204" s="23"/>
      <c r="P204" s="23"/>
      <c r="Q204" s="23"/>
      <c r="R204" s="23"/>
      <c r="S204" s="23"/>
      <c r="T204" s="23"/>
      <c r="U204" s="23" t="s">
        <v>93</v>
      </c>
      <c r="V204" s="23" t="s">
        <v>39</v>
      </c>
      <c r="W204" s="23" t="s">
        <v>94</v>
      </c>
      <c r="X204" s="23" t="s">
        <v>41</v>
      </c>
      <c r="Y204" s="23" t="s">
        <v>95</v>
      </c>
      <c r="Z204" s="23" t="s">
        <v>43</v>
      </c>
      <c r="AA204" s="23" t="s">
        <v>44</v>
      </c>
      <c r="AB204" s="24"/>
    </row>
    <row r="205" spans="1:28" s="1" customFormat="1" ht="12.75">
      <c r="A205" s="20" t="s">
        <v>428</v>
      </c>
      <c r="B205" s="21" t="s">
        <v>559</v>
      </c>
      <c r="C205" s="22" t="s">
        <v>557</v>
      </c>
      <c r="D205" s="22" t="s">
        <v>41</v>
      </c>
      <c r="E205" s="23" t="s">
        <v>247</v>
      </c>
      <c r="F205" s="23" t="s">
        <v>558</v>
      </c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 t="s">
        <v>55</v>
      </c>
      <c r="V205" s="23"/>
      <c r="W205" s="23" t="s">
        <v>56</v>
      </c>
      <c r="X205" s="23" t="s">
        <v>41</v>
      </c>
      <c r="Y205" s="23" t="s">
        <v>56</v>
      </c>
      <c r="Z205" s="23" t="s">
        <v>43</v>
      </c>
      <c r="AA205" s="23" t="s">
        <v>44</v>
      </c>
      <c r="AB205" s="24"/>
    </row>
    <row r="206" spans="1:28" s="1" customFormat="1" ht="12.75">
      <c r="A206" s="20" t="s">
        <v>428</v>
      </c>
      <c r="B206" s="21" t="s">
        <v>560</v>
      </c>
      <c r="C206" s="22" t="s">
        <v>557</v>
      </c>
      <c r="D206" s="22" t="s">
        <v>41</v>
      </c>
      <c r="E206" s="23" t="s">
        <v>406</v>
      </c>
      <c r="F206" s="23" t="s">
        <v>561</v>
      </c>
      <c r="G206" s="23"/>
      <c r="H206" s="23"/>
      <c r="I206" s="23"/>
      <c r="J206" s="23"/>
      <c r="K206" s="23"/>
      <c r="L206" s="23"/>
      <c r="M206" s="23" t="s">
        <v>554</v>
      </c>
      <c r="N206" s="23"/>
      <c r="O206" s="23"/>
      <c r="P206" s="23"/>
      <c r="Q206" s="23"/>
      <c r="R206" s="23"/>
      <c r="S206" s="23" t="s">
        <v>245</v>
      </c>
      <c r="T206" s="23"/>
      <c r="U206" s="23" t="s">
        <v>55</v>
      </c>
      <c r="V206" s="23"/>
      <c r="W206" s="23" t="s">
        <v>56</v>
      </c>
      <c r="X206" s="23" t="s">
        <v>41</v>
      </c>
      <c r="Y206" s="23" t="s">
        <v>56</v>
      </c>
      <c r="Z206" s="23" t="s">
        <v>43</v>
      </c>
      <c r="AA206" s="23" t="s">
        <v>44</v>
      </c>
      <c r="AB206" s="24"/>
    </row>
    <row r="207" spans="1:28" s="1" customFormat="1" ht="12.75">
      <c r="A207" s="20" t="s">
        <v>428</v>
      </c>
      <c r="B207" s="21" t="s">
        <v>562</v>
      </c>
      <c r="C207" s="22" t="s">
        <v>557</v>
      </c>
      <c r="D207" s="22" t="s">
        <v>41</v>
      </c>
      <c r="E207" s="23" t="s">
        <v>406</v>
      </c>
      <c r="F207" s="23" t="s">
        <v>561</v>
      </c>
      <c r="G207" s="23"/>
      <c r="H207" s="23"/>
      <c r="I207" s="23"/>
      <c r="J207" s="23"/>
      <c r="K207" s="23"/>
      <c r="L207" s="23"/>
      <c r="M207" s="23" t="s">
        <v>408</v>
      </c>
      <c r="N207" s="23"/>
      <c r="O207" s="23"/>
      <c r="P207" s="23"/>
      <c r="Q207" s="23"/>
      <c r="R207" s="23"/>
      <c r="S207" s="23" t="s">
        <v>245</v>
      </c>
      <c r="T207" s="23" t="s">
        <v>368</v>
      </c>
      <c r="U207" s="23" t="s">
        <v>55</v>
      </c>
      <c r="V207" s="23"/>
      <c r="W207" s="23" t="s">
        <v>56</v>
      </c>
      <c r="X207" s="23" t="s">
        <v>41</v>
      </c>
      <c r="Y207" s="23" t="s">
        <v>56</v>
      </c>
      <c r="Z207" s="23" t="s">
        <v>43</v>
      </c>
      <c r="AA207" s="23" t="s">
        <v>44</v>
      </c>
      <c r="AB207" s="24"/>
    </row>
    <row r="208" spans="1:28" s="1" customFormat="1" ht="12.75">
      <c r="A208" s="20" t="s">
        <v>428</v>
      </c>
      <c r="B208" s="21" t="s">
        <v>563</v>
      </c>
      <c r="C208" s="22" t="s">
        <v>564</v>
      </c>
      <c r="D208" s="22" t="s">
        <v>85</v>
      </c>
      <c r="E208" s="23" t="s">
        <v>565</v>
      </c>
      <c r="F208" s="23" t="s">
        <v>566</v>
      </c>
      <c r="G208" s="23" t="s">
        <v>88</v>
      </c>
      <c r="H208" s="23" t="s">
        <v>567</v>
      </c>
      <c r="I208" s="23" t="s">
        <v>568</v>
      </c>
      <c r="J208" s="23" t="s">
        <v>88</v>
      </c>
      <c r="K208" s="23" t="s">
        <v>567</v>
      </c>
      <c r="L208" s="23" t="s">
        <v>568</v>
      </c>
      <c r="M208" s="23"/>
      <c r="N208" s="23"/>
      <c r="O208" s="23"/>
      <c r="P208" s="23"/>
      <c r="Q208" s="23"/>
      <c r="R208" s="23"/>
      <c r="S208" s="23"/>
      <c r="T208" s="23"/>
      <c r="U208" s="23" t="s">
        <v>569</v>
      </c>
      <c r="V208" s="23" t="s">
        <v>39</v>
      </c>
      <c r="W208" s="23" t="s">
        <v>94</v>
      </c>
      <c r="X208" s="23" t="s">
        <v>41</v>
      </c>
      <c r="Y208" s="23" t="s">
        <v>42</v>
      </c>
      <c r="Z208" s="23" t="s">
        <v>43</v>
      </c>
      <c r="AA208" s="23" t="s">
        <v>44</v>
      </c>
      <c r="AB208" s="24"/>
    </row>
    <row r="209" spans="1:28" s="1" customFormat="1" ht="12.75">
      <c r="A209" s="20" t="s">
        <v>428</v>
      </c>
      <c r="B209" s="21" t="s">
        <v>570</v>
      </c>
      <c r="C209" s="22" t="s">
        <v>564</v>
      </c>
      <c r="D209" s="22" t="s">
        <v>41</v>
      </c>
      <c r="E209" s="23" t="s">
        <v>571</v>
      </c>
      <c r="F209" s="23" t="s">
        <v>572</v>
      </c>
      <c r="G209" s="23"/>
      <c r="H209" s="23"/>
      <c r="I209" s="23"/>
      <c r="J209" s="23"/>
      <c r="K209" s="23"/>
      <c r="L209" s="23"/>
      <c r="M209" s="23" t="s">
        <v>573</v>
      </c>
      <c r="N209" s="23"/>
      <c r="O209" s="23"/>
      <c r="P209" s="23"/>
      <c r="Q209" s="23"/>
      <c r="R209" s="23"/>
      <c r="S209" s="23" t="s">
        <v>568</v>
      </c>
      <c r="T209" s="23" t="s">
        <v>368</v>
      </c>
      <c r="U209" s="23" t="s">
        <v>55</v>
      </c>
      <c r="V209" s="23"/>
      <c r="W209" s="23" t="s">
        <v>56</v>
      </c>
      <c r="X209" s="23" t="s">
        <v>41</v>
      </c>
      <c r="Y209" s="23" t="s">
        <v>56</v>
      </c>
      <c r="Z209" s="23" t="s">
        <v>43</v>
      </c>
      <c r="AA209" s="23" t="s">
        <v>44</v>
      </c>
      <c r="AB209" s="24"/>
    </row>
    <row r="210" spans="1:28" s="1" customFormat="1" ht="12.75">
      <c r="A210" s="20" t="s">
        <v>428</v>
      </c>
      <c r="B210" s="21" t="s">
        <v>574</v>
      </c>
      <c r="C210" s="22" t="s">
        <v>564</v>
      </c>
      <c r="D210" s="22" t="s">
        <v>41</v>
      </c>
      <c r="E210" s="23" t="s">
        <v>575</v>
      </c>
      <c r="F210" s="23" t="s">
        <v>566</v>
      </c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 t="s">
        <v>55</v>
      </c>
      <c r="V210" s="23"/>
      <c r="W210" s="23" t="s">
        <v>56</v>
      </c>
      <c r="X210" s="23" t="s">
        <v>41</v>
      </c>
      <c r="Y210" s="23" t="s">
        <v>56</v>
      </c>
      <c r="Z210" s="23" t="s">
        <v>43</v>
      </c>
      <c r="AA210" s="23" t="s">
        <v>44</v>
      </c>
      <c r="AB210" s="24"/>
    </row>
    <row r="211" spans="1:28" s="1" customFormat="1" ht="12.75">
      <c r="A211" s="20" t="s">
        <v>428</v>
      </c>
      <c r="B211" s="21" t="s">
        <v>576</v>
      </c>
      <c r="C211" s="22" t="s">
        <v>564</v>
      </c>
      <c r="D211" s="22" t="s">
        <v>41</v>
      </c>
      <c r="E211" s="23" t="s">
        <v>571</v>
      </c>
      <c r="F211" s="23" t="s">
        <v>572</v>
      </c>
      <c r="G211" s="23"/>
      <c r="H211" s="23"/>
      <c r="I211" s="23"/>
      <c r="J211" s="23"/>
      <c r="K211" s="23"/>
      <c r="L211" s="23"/>
      <c r="M211" s="23" t="s">
        <v>577</v>
      </c>
      <c r="N211" s="23"/>
      <c r="O211" s="23"/>
      <c r="P211" s="23"/>
      <c r="Q211" s="23"/>
      <c r="R211" s="23"/>
      <c r="S211" s="23" t="s">
        <v>568</v>
      </c>
      <c r="T211" s="23" t="s">
        <v>368</v>
      </c>
      <c r="U211" s="23" t="s">
        <v>55</v>
      </c>
      <c r="V211" s="23"/>
      <c r="W211" s="23" t="s">
        <v>56</v>
      </c>
      <c r="X211" s="23" t="s">
        <v>41</v>
      </c>
      <c r="Y211" s="23" t="s">
        <v>56</v>
      </c>
      <c r="Z211" s="23" t="s">
        <v>43</v>
      </c>
      <c r="AA211" s="23" t="s">
        <v>44</v>
      </c>
      <c r="AB211" s="24"/>
    </row>
    <row r="212" spans="1:28" s="1" customFormat="1" ht="12.75">
      <c r="A212" s="20" t="s">
        <v>428</v>
      </c>
      <c r="B212" s="21" t="s">
        <v>578</v>
      </c>
      <c r="C212" s="22" t="s">
        <v>579</v>
      </c>
      <c r="D212" s="22" t="s">
        <v>85</v>
      </c>
      <c r="E212" s="23" t="s">
        <v>565</v>
      </c>
      <c r="F212" s="23" t="s">
        <v>580</v>
      </c>
      <c r="G212" s="23" t="s">
        <v>88</v>
      </c>
      <c r="H212" s="23" t="s">
        <v>567</v>
      </c>
      <c r="I212" s="23" t="s">
        <v>568</v>
      </c>
      <c r="J212" s="23" t="s">
        <v>88</v>
      </c>
      <c r="K212" s="23" t="s">
        <v>567</v>
      </c>
      <c r="L212" s="23" t="s">
        <v>568</v>
      </c>
      <c r="M212" s="23"/>
      <c r="N212" s="23"/>
      <c r="O212" s="23"/>
      <c r="P212" s="23"/>
      <c r="Q212" s="23"/>
      <c r="R212" s="23"/>
      <c r="S212" s="23"/>
      <c r="T212" s="23"/>
      <c r="U212" s="23" t="s">
        <v>569</v>
      </c>
      <c r="V212" s="23" t="s">
        <v>39</v>
      </c>
      <c r="W212" s="23" t="s">
        <v>94</v>
      </c>
      <c r="X212" s="23" t="s">
        <v>41</v>
      </c>
      <c r="Y212" s="23" t="s">
        <v>42</v>
      </c>
      <c r="Z212" s="23" t="s">
        <v>43</v>
      </c>
      <c r="AA212" s="23" t="s">
        <v>44</v>
      </c>
      <c r="AB212" s="24"/>
    </row>
    <row r="213" spans="1:28" s="1" customFormat="1" ht="12.75">
      <c r="A213" s="20" t="s">
        <v>428</v>
      </c>
      <c r="B213" s="21" t="s">
        <v>581</v>
      </c>
      <c r="C213" s="22" t="s">
        <v>579</v>
      </c>
      <c r="D213" s="22" t="s">
        <v>41</v>
      </c>
      <c r="E213" s="23" t="s">
        <v>571</v>
      </c>
      <c r="F213" s="23" t="s">
        <v>582</v>
      </c>
      <c r="G213" s="23"/>
      <c r="H213" s="23"/>
      <c r="I213" s="23"/>
      <c r="J213" s="23"/>
      <c r="K213" s="23"/>
      <c r="L213" s="23"/>
      <c r="M213" s="23" t="s">
        <v>573</v>
      </c>
      <c r="N213" s="23"/>
      <c r="O213" s="23"/>
      <c r="P213" s="23"/>
      <c r="Q213" s="23"/>
      <c r="R213" s="23"/>
      <c r="S213" s="23" t="s">
        <v>568</v>
      </c>
      <c r="T213" s="23" t="s">
        <v>368</v>
      </c>
      <c r="U213" s="23" t="s">
        <v>55</v>
      </c>
      <c r="V213" s="23"/>
      <c r="W213" s="23" t="s">
        <v>56</v>
      </c>
      <c r="X213" s="23" t="s">
        <v>41</v>
      </c>
      <c r="Y213" s="23" t="s">
        <v>56</v>
      </c>
      <c r="Z213" s="23" t="s">
        <v>43</v>
      </c>
      <c r="AA213" s="23" t="s">
        <v>44</v>
      </c>
      <c r="AB213" s="24"/>
    </row>
    <row r="214" spans="1:28" s="1" customFormat="1" ht="12.75">
      <c r="A214" s="20" t="s">
        <v>428</v>
      </c>
      <c r="B214" s="21" t="s">
        <v>583</v>
      </c>
      <c r="C214" s="22" t="s">
        <v>579</v>
      </c>
      <c r="D214" s="22" t="s">
        <v>41</v>
      </c>
      <c r="E214" s="23" t="s">
        <v>575</v>
      </c>
      <c r="F214" s="23" t="s">
        <v>580</v>
      </c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 t="s">
        <v>55</v>
      </c>
      <c r="V214" s="23"/>
      <c r="W214" s="23" t="s">
        <v>56</v>
      </c>
      <c r="X214" s="23" t="s">
        <v>41</v>
      </c>
      <c r="Y214" s="23" t="s">
        <v>56</v>
      </c>
      <c r="Z214" s="23" t="s">
        <v>43</v>
      </c>
      <c r="AA214" s="23" t="s">
        <v>44</v>
      </c>
      <c r="AB214" s="24"/>
    </row>
    <row r="215" spans="1:28" s="1" customFormat="1" ht="12.75">
      <c r="A215" s="20" t="s">
        <v>428</v>
      </c>
      <c r="B215" s="21" t="s">
        <v>584</v>
      </c>
      <c r="C215" s="22" t="s">
        <v>579</v>
      </c>
      <c r="D215" s="22" t="s">
        <v>41</v>
      </c>
      <c r="E215" s="23" t="s">
        <v>571</v>
      </c>
      <c r="F215" s="23" t="s">
        <v>582</v>
      </c>
      <c r="G215" s="23"/>
      <c r="H215" s="23"/>
      <c r="I215" s="23"/>
      <c r="J215" s="23"/>
      <c r="K215" s="23"/>
      <c r="L215" s="23"/>
      <c r="M215" s="23" t="s">
        <v>577</v>
      </c>
      <c r="N215" s="23"/>
      <c r="O215" s="23"/>
      <c r="P215" s="23"/>
      <c r="Q215" s="23"/>
      <c r="R215" s="23"/>
      <c r="S215" s="23" t="s">
        <v>568</v>
      </c>
      <c r="T215" s="23" t="s">
        <v>368</v>
      </c>
      <c r="U215" s="23" t="s">
        <v>55</v>
      </c>
      <c r="V215" s="23"/>
      <c r="W215" s="23" t="s">
        <v>56</v>
      </c>
      <c r="X215" s="23" t="s">
        <v>41</v>
      </c>
      <c r="Y215" s="23" t="s">
        <v>56</v>
      </c>
      <c r="Z215" s="23" t="s">
        <v>43</v>
      </c>
      <c r="AA215" s="23" t="s">
        <v>44</v>
      </c>
      <c r="AB215" s="24"/>
    </row>
    <row r="216" spans="1:28" s="1" customFormat="1" ht="12.75">
      <c r="A216" s="20" t="s">
        <v>585</v>
      </c>
      <c r="B216" s="21" t="s">
        <v>586</v>
      </c>
      <c r="C216" s="22" t="s">
        <v>587</v>
      </c>
      <c r="D216" s="22" t="s">
        <v>85</v>
      </c>
      <c r="E216" s="23" t="s">
        <v>86</v>
      </c>
      <c r="F216" s="23" t="s">
        <v>588</v>
      </c>
      <c r="G216" s="23" t="s">
        <v>88</v>
      </c>
      <c r="H216" s="23" t="s">
        <v>589</v>
      </c>
      <c r="I216" s="23" t="s">
        <v>90</v>
      </c>
      <c r="J216" s="23" t="s">
        <v>88</v>
      </c>
      <c r="K216" s="23" t="s">
        <v>590</v>
      </c>
      <c r="L216" s="23" t="s">
        <v>92</v>
      </c>
      <c r="M216" s="23"/>
      <c r="N216" s="23"/>
      <c r="O216" s="23"/>
      <c r="P216" s="23"/>
      <c r="Q216" s="23"/>
      <c r="R216" s="23"/>
      <c r="S216" s="23"/>
      <c r="T216" s="23"/>
      <c r="U216" s="23" t="s">
        <v>93</v>
      </c>
      <c r="V216" s="23" t="s">
        <v>591</v>
      </c>
      <c r="W216" s="23" t="s">
        <v>94</v>
      </c>
      <c r="X216" s="23" t="s">
        <v>41</v>
      </c>
      <c r="Y216" s="23" t="s">
        <v>95</v>
      </c>
      <c r="Z216" s="23" t="s">
        <v>43</v>
      </c>
      <c r="AA216" s="23" t="s">
        <v>44</v>
      </c>
      <c r="AB216" s="24"/>
    </row>
    <row r="217" spans="1:28" s="1" customFormat="1" ht="12.75">
      <c r="A217" s="20" t="s">
        <v>585</v>
      </c>
      <c r="B217" s="21" t="s">
        <v>592</v>
      </c>
      <c r="C217" s="22" t="s">
        <v>587</v>
      </c>
      <c r="D217" s="22" t="s">
        <v>41</v>
      </c>
      <c r="E217" s="23" t="s">
        <v>104</v>
      </c>
      <c r="F217" s="23" t="s">
        <v>593</v>
      </c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 t="s">
        <v>55</v>
      </c>
      <c r="V217" s="23"/>
      <c r="W217" s="23" t="s">
        <v>56</v>
      </c>
      <c r="X217" s="23" t="s">
        <v>41</v>
      </c>
      <c r="Y217" s="23" t="s">
        <v>56</v>
      </c>
      <c r="Z217" s="23" t="s">
        <v>43</v>
      </c>
      <c r="AA217" s="23" t="s">
        <v>44</v>
      </c>
      <c r="AB217" s="24"/>
    </row>
    <row r="218" spans="1:28" s="1" customFormat="1" ht="12.75">
      <c r="A218" s="20" t="s">
        <v>585</v>
      </c>
      <c r="B218" s="21" t="s">
        <v>594</v>
      </c>
      <c r="C218" s="22" t="s">
        <v>587</v>
      </c>
      <c r="D218" s="22" t="s">
        <v>35</v>
      </c>
      <c r="E218" s="23" t="s">
        <v>107</v>
      </c>
      <c r="F218" s="23" t="s">
        <v>595</v>
      </c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 t="s">
        <v>108</v>
      </c>
      <c r="V218" s="23" t="s">
        <v>591</v>
      </c>
      <c r="W218" s="23" t="s">
        <v>94</v>
      </c>
      <c r="X218" s="23" t="s">
        <v>41</v>
      </c>
      <c r="Y218" s="23" t="s">
        <v>95</v>
      </c>
      <c r="Z218" s="23" t="s">
        <v>43</v>
      </c>
      <c r="AA218" s="23" t="s">
        <v>44</v>
      </c>
      <c r="AB218" s="24"/>
    </row>
    <row r="219" spans="1:28" s="1" customFormat="1" ht="12.75">
      <c r="A219" s="20" t="s">
        <v>585</v>
      </c>
      <c r="B219" s="21" t="s">
        <v>596</v>
      </c>
      <c r="C219" s="22" t="s">
        <v>587</v>
      </c>
      <c r="D219" s="22" t="s">
        <v>41</v>
      </c>
      <c r="E219" s="23" t="s">
        <v>110</v>
      </c>
      <c r="F219" s="23" t="s">
        <v>597</v>
      </c>
      <c r="G219" s="23"/>
      <c r="H219" s="23"/>
      <c r="I219" s="23"/>
      <c r="J219" s="23"/>
      <c r="K219" s="23"/>
      <c r="L219" s="23"/>
      <c r="M219" s="23"/>
      <c r="N219" s="23"/>
      <c r="O219" s="23"/>
      <c r="P219" s="23" t="s">
        <v>233</v>
      </c>
      <c r="Q219" s="23"/>
      <c r="R219" s="23"/>
      <c r="S219" s="23" t="s">
        <v>92</v>
      </c>
      <c r="T219" s="23"/>
      <c r="U219" s="23" t="s">
        <v>55</v>
      </c>
      <c r="V219" s="23"/>
      <c r="W219" s="23" t="s">
        <v>56</v>
      </c>
      <c r="X219" s="23" t="s">
        <v>41</v>
      </c>
      <c r="Y219" s="23" t="s">
        <v>56</v>
      </c>
      <c r="Z219" s="23" t="s">
        <v>43</v>
      </c>
      <c r="AA219" s="23" t="s">
        <v>44</v>
      </c>
      <c r="AB219" s="24"/>
    </row>
    <row r="220" spans="1:28" s="1" customFormat="1" ht="12.75">
      <c r="A220" s="20" t="s">
        <v>585</v>
      </c>
      <c r="B220" s="21" t="s">
        <v>598</v>
      </c>
      <c r="C220" s="22" t="s">
        <v>599</v>
      </c>
      <c r="D220" s="22" t="s">
        <v>85</v>
      </c>
      <c r="E220" s="23" t="s">
        <v>86</v>
      </c>
      <c r="F220" s="23" t="s">
        <v>600</v>
      </c>
      <c r="G220" s="23" t="s">
        <v>88</v>
      </c>
      <c r="H220" s="23" t="s">
        <v>589</v>
      </c>
      <c r="I220" s="23" t="s">
        <v>90</v>
      </c>
      <c r="J220" s="23" t="s">
        <v>88</v>
      </c>
      <c r="K220" s="23" t="s">
        <v>590</v>
      </c>
      <c r="L220" s="23" t="s">
        <v>92</v>
      </c>
      <c r="M220" s="23"/>
      <c r="N220" s="23"/>
      <c r="O220" s="23"/>
      <c r="P220" s="23"/>
      <c r="Q220" s="23"/>
      <c r="R220" s="23"/>
      <c r="S220" s="23"/>
      <c r="T220" s="23"/>
      <c r="U220" s="23" t="s">
        <v>93</v>
      </c>
      <c r="V220" s="23" t="s">
        <v>591</v>
      </c>
      <c r="W220" s="23" t="s">
        <v>94</v>
      </c>
      <c r="X220" s="23" t="s">
        <v>41</v>
      </c>
      <c r="Y220" s="23" t="s">
        <v>95</v>
      </c>
      <c r="Z220" s="23" t="s">
        <v>43</v>
      </c>
      <c r="AA220" s="23" t="s">
        <v>44</v>
      </c>
      <c r="AB220" s="24"/>
    </row>
    <row r="221" spans="1:28" s="1" customFormat="1" ht="12.75">
      <c r="A221" s="20" t="s">
        <v>585</v>
      </c>
      <c r="B221" s="21" t="s">
        <v>601</v>
      </c>
      <c r="C221" s="22" t="s">
        <v>599</v>
      </c>
      <c r="D221" s="22" t="s">
        <v>41</v>
      </c>
      <c r="E221" s="23" t="s">
        <v>104</v>
      </c>
      <c r="F221" s="23" t="s">
        <v>602</v>
      </c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 t="s">
        <v>55</v>
      </c>
      <c r="V221" s="23"/>
      <c r="W221" s="23" t="s">
        <v>56</v>
      </c>
      <c r="X221" s="23" t="s">
        <v>41</v>
      </c>
      <c r="Y221" s="23" t="s">
        <v>56</v>
      </c>
      <c r="Z221" s="23" t="s">
        <v>43</v>
      </c>
      <c r="AA221" s="23" t="s">
        <v>44</v>
      </c>
      <c r="AB221" s="24"/>
    </row>
    <row r="222" spans="1:28" s="1" customFormat="1" ht="12.75">
      <c r="A222" s="20" t="s">
        <v>585</v>
      </c>
      <c r="B222" s="21" t="s">
        <v>603</v>
      </c>
      <c r="C222" s="22" t="s">
        <v>599</v>
      </c>
      <c r="D222" s="22" t="s">
        <v>35</v>
      </c>
      <c r="E222" s="23" t="s">
        <v>107</v>
      </c>
      <c r="F222" s="23" t="s">
        <v>604</v>
      </c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 t="s">
        <v>108</v>
      </c>
      <c r="V222" s="23" t="s">
        <v>591</v>
      </c>
      <c r="W222" s="23" t="s">
        <v>94</v>
      </c>
      <c r="X222" s="23" t="s">
        <v>41</v>
      </c>
      <c r="Y222" s="23" t="s">
        <v>95</v>
      </c>
      <c r="Z222" s="23" t="s">
        <v>43</v>
      </c>
      <c r="AA222" s="23" t="s">
        <v>44</v>
      </c>
      <c r="AB222" s="24"/>
    </row>
    <row r="223" spans="1:28" s="1" customFormat="1" ht="12.75">
      <c r="A223" s="20" t="s">
        <v>585</v>
      </c>
      <c r="B223" s="21" t="s">
        <v>605</v>
      </c>
      <c r="C223" s="22" t="s">
        <v>599</v>
      </c>
      <c r="D223" s="22" t="s">
        <v>41</v>
      </c>
      <c r="E223" s="23" t="s">
        <v>110</v>
      </c>
      <c r="F223" s="23" t="s">
        <v>606</v>
      </c>
      <c r="G223" s="23"/>
      <c r="H223" s="23"/>
      <c r="I223" s="23"/>
      <c r="J223" s="23"/>
      <c r="K223" s="23"/>
      <c r="L223" s="23"/>
      <c r="M223" s="23"/>
      <c r="N223" s="23"/>
      <c r="O223" s="23"/>
      <c r="P223" s="23" t="s">
        <v>233</v>
      </c>
      <c r="Q223" s="23"/>
      <c r="R223" s="23"/>
      <c r="S223" s="23" t="s">
        <v>92</v>
      </c>
      <c r="T223" s="23"/>
      <c r="U223" s="23" t="s">
        <v>55</v>
      </c>
      <c r="V223" s="23"/>
      <c r="W223" s="23" t="s">
        <v>56</v>
      </c>
      <c r="X223" s="23" t="s">
        <v>41</v>
      </c>
      <c r="Y223" s="23" t="s">
        <v>56</v>
      </c>
      <c r="Z223" s="23" t="s">
        <v>43</v>
      </c>
      <c r="AA223" s="23" t="s">
        <v>44</v>
      </c>
      <c r="AB223" s="24"/>
    </row>
    <row r="224" spans="1:28" s="1" customFormat="1" ht="12.75">
      <c r="A224" s="20" t="s">
        <v>585</v>
      </c>
      <c r="B224" s="21" t="s">
        <v>607</v>
      </c>
      <c r="C224" s="22" t="s">
        <v>608</v>
      </c>
      <c r="D224" s="22" t="s">
        <v>41</v>
      </c>
      <c r="E224" s="23" t="s">
        <v>453</v>
      </c>
      <c r="F224" s="23" t="s">
        <v>609</v>
      </c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 t="s">
        <v>55</v>
      </c>
      <c r="V224" s="23"/>
      <c r="W224" s="23" t="s">
        <v>56</v>
      </c>
      <c r="X224" s="23" t="s">
        <v>41</v>
      </c>
      <c r="Y224" s="23" t="s">
        <v>56</v>
      </c>
      <c r="Z224" s="23" t="s">
        <v>43</v>
      </c>
      <c r="AA224" s="23" t="s">
        <v>44</v>
      </c>
      <c r="AB224" s="24"/>
    </row>
    <row r="225" spans="1:28" s="1" customFormat="1" ht="12.75">
      <c r="A225" s="20" t="s">
        <v>585</v>
      </c>
      <c r="B225" s="21" t="s">
        <v>610</v>
      </c>
      <c r="C225" s="22" t="s">
        <v>611</v>
      </c>
      <c r="D225" s="22" t="s">
        <v>171</v>
      </c>
      <c r="E225" s="23" t="s">
        <v>172</v>
      </c>
      <c r="F225" s="23" t="s">
        <v>612</v>
      </c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 t="s">
        <v>38</v>
      </c>
      <c r="V225" s="23" t="s">
        <v>591</v>
      </c>
      <c r="W225" s="23" t="s">
        <v>40</v>
      </c>
      <c r="X225" s="23" t="s">
        <v>41</v>
      </c>
      <c r="Y225" s="23" t="s">
        <v>42</v>
      </c>
      <c r="Z225" s="23" t="s">
        <v>43</v>
      </c>
      <c r="AA225" s="23" t="s">
        <v>44</v>
      </c>
      <c r="AB225" s="24"/>
    </row>
    <row r="226" spans="1:28" s="1" customFormat="1" ht="12.75">
      <c r="A226" s="20" t="s">
        <v>585</v>
      </c>
      <c r="B226" s="21" t="s">
        <v>613</v>
      </c>
      <c r="C226" s="22" t="s">
        <v>611</v>
      </c>
      <c r="D226" s="22" t="s">
        <v>171</v>
      </c>
      <c r="E226" s="23" t="s">
        <v>175</v>
      </c>
      <c r="F226" s="23" t="s">
        <v>614</v>
      </c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 t="s">
        <v>38</v>
      </c>
      <c r="V226" s="23" t="s">
        <v>591</v>
      </c>
      <c r="W226" s="23" t="s">
        <v>40</v>
      </c>
      <c r="X226" s="23" t="s">
        <v>41</v>
      </c>
      <c r="Y226" s="23" t="s">
        <v>42</v>
      </c>
      <c r="Z226" s="23" t="s">
        <v>43</v>
      </c>
      <c r="AA226" s="23" t="s">
        <v>44</v>
      </c>
      <c r="AB226" s="24"/>
    </row>
    <row r="227" spans="1:28" s="1" customFormat="1" ht="12.75">
      <c r="A227" s="20" t="s">
        <v>585</v>
      </c>
      <c r="B227" s="21" t="s">
        <v>615</v>
      </c>
      <c r="C227" s="22" t="s">
        <v>611</v>
      </c>
      <c r="D227" s="22" t="s">
        <v>171</v>
      </c>
      <c r="E227" s="23" t="s">
        <v>66</v>
      </c>
      <c r="F227" s="23" t="s">
        <v>616</v>
      </c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 t="s">
        <v>179</v>
      </c>
      <c r="V227" s="23"/>
      <c r="W227" s="23" t="s">
        <v>180</v>
      </c>
      <c r="X227" s="23" t="s">
        <v>41</v>
      </c>
      <c r="Y227" s="23" t="s">
        <v>181</v>
      </c>
      <c r="Z227" s="23" t="s">
        <v>43</v>
      </c>
      <c r="AA227" s="23" t="s">
        <v>44</v>
      </c>
      <c r="AB227" s="24"/>
    </row>
    <row r="228" spans="1:28" s="1" customFormat="1" ht="12.75">
      <c r="A228" s="20" t="s">
        <v>585</v>
      </c>
      <c r="B228" s="21" t="s">
        <v>617</v>
      </c>
      <c r="C228" s="22" t="s">
        <v>611</v>
      </c>
      <c r="D228" s="22" t="s">
        <v>171</v>
      </c>
      <c r="E228" s="23" t="s">
        <v>66</v>
      </c>
      <c r="F228" s="23" t="s">
        <v>618</v>
      </c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 t="s">
        <v>179</v>
      </c>
      <c r="V228" s="23"/>
      <c r="W228" s="23" t="s">
        <v>180</v>
      </c>
      <c r="X228" s="23" t="s">
        <v>41</v>
      </c>
      <c r="Y228" s="23" t="s">
        <v>181</v>
      </c>
      <c r="Z228" s="23" t="s">
        <v>43</v>
      </c>
      <c r="AA228" s="23" t="s">
        <v>44</v>
      </c>
      <c r="AB228" s="24"/>
    </row>
    <row r="229" spans="1:28" s="1" customFormat="1" ht="12.75">
      <c r="A229" s="20" t="s">
        <v>585</v>
      </c>
      <c r="B229" s="21" t="s">
        <v>619</v>
      </c>
      <c r="C229" s="22" t="s">
        <v>611</v>
      </c>
      <c r="D229" s="22" t="s">
        <v>171</v>
      </c>
      <c r="E229" s="23" t="s">
        <v>185</v>
      </c>
      <c r="F229" s="23" t="s">
        <v>620</v>
      </c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 t="s">
        <v>179</v>
      </c>
      <c r="V229" s="23"/>
      <c r="W229" s="23" t="s">
        <v>180</v>
      </c>
      <c r="X229" s="23" t="s">
        <v>41</v>
      </c>
      <c r="Y229" s="23" t="s">
        <v>181</v>
      </c>
      <c r="Z229" s="23" t="s">
        <v>43</v>
      </c>
      <c r="AA229" s="23" t="s">
        <v>44</v>
      </c>
      <c r="AB229" s="24"/>
    </row>
    <row r="230" spans="1:28" s="1" customFormat="1" ht="12.75">
      <c r="A230" s="20" t="s">
        <v>585</v>
      </c>
      <c r="B230" s="21" t="s">
        <v>621</v>
      </c>
      <c r="C230" s="22" t="s">
        <v>622</v>
      </c>
      <c r="D230" s="22" t="s">
        <v>171</v>
      </c>
      <c r="E230" s="23" t="s">
        <v>172</v>
      </c>
      <c r="F230" s="23" t="s">
        <v>623</v>
      </c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 t="s">
        <v>38</v>
      </c>
      <c r="V230" s="23" t="s">
        <v>591</v>
      </c>
      <c r="W230" s="23" t="s">
        <v>40</v>
      </c>
      <c r="X230" s="23" t="s">
        <v>41</v>
      </c>
      <c r="Y230" s="23" t="s">
        <v>42</v>
      </c>
      <c r="Z230" s="23" t="s">
        <v>43</v>
      </c>
      <c r="AA230" s="23" t="s">
        <v>44</v>
      </c>
      <c r="AB230" s="24"/>
    </row>
    <row r="231" spans="1:28" s="1" customFormat="1" ht="12.75">
      <c r="A231" s="20" t="s">
        <v>585</v>
      </c>
      <c r="B231" s="21" t="s">
        <v>624</v>
      </c>
      <c r="C231" s="22" t="s">
        <v>622</v>
      </c>
      <c r="D231" s="22" t="s">
        <v>171</v>
      </c>
      <c r="E231" s="23" t="s">
        <v>175</v>
      </c>
      <c r="F231" s="23" t="s">
        <v>625</v>
      </c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 t="s">
        <v>38</v>
      </c>
      <c r="V231" s="23" t="s">
        <v>591</v>
      </c>
      <c r="W231" s="23" t="s">
        <v>40</v>
      </c>
      <c r="X231" s="23" t="s">
        <v>41</v>
      </c>
      <c r="Y231" s="23" t="s">
        <v>42</v>
      </c>
      <c r="Z231" s="23" t="s">
        <v>43</v>
      </c>
      <c r="AA231" s="23" t="s">
        <v>44</v>
      </c>
      <c r="AB231" s="24"/>
    </row>
    <row r="232" spans="1:28" s="1" customFormat="1" ht="12.75">
      <c r="A232" s="20" t="s">
        <v>585</v>
      </c>
      <c r="B232" s="21" t="s">
        <v>626</v>
      </c>
      <c r="C232" s="22" t="s">
        <v>622</v>
      </c>
      <c r="D232" s="22" t="s">
        <v>171</v>
      </c>
      <c r="E232" s="23" t="s">
        <v>66</v>
      </c>
      <c r="F232" s="23" t="s">
        <v>627</v>
      </c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 t="s">
        <v>179</v>
      </c>
      <c r="V232" s="23"/>
      <c r="W232" s="23" t="s">
        <v>180</v>
      </c>
      <c r="X232" s="23" t="s">
        <v>41</v>
      </c>
      <c r="Y232" s="23" t="s">
        <v>181</v>
      </c>
      <c r="Z232" s="23" t="s">
        <v>43</v>
      </c>
      <c r="AA232" s="23" t="s">
        <v>44</v>
      </c>
      <c r="AB232" s="24"/>
    </row>
    <row r="233" spans="1:28" s="1" customFormat="1" ht="12.75">
      <c r="A233" s="20" t="s">
        <v>585</v>
      </c>
      <c r="B233" s="21" t="s">
        <v>628</v>
      </c>
      <c r="C233" s="22" t="s">
        <v>622</v>
      </c>
      <c r="D233" s="22" t="s">
        <v>171</v>
      </c>
      <c r="E233" s="23" t="s">
        <v>66</v>
      </c>
      <c r="F233" s="23" t="s">
        <v>629</v>
      </c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 t="s">
        <v>179</v>
      </c>
      <c r="V233" s="23"/>
      <c r="W233" s="23" t="s">
        <v>180</v>
      </c>
      <c r="X233" s="23" t="s">
        <v>41</v>
      </c>
      <c r="Y233" s="23" t="s">
        <v>181</v>
      </c>
      <c r="Z233" s="23" t="s">
        <v>43</v>
      </c>
      <c r="AA233" s="23" t="s">
        <v>44</v>
      </c>
      <c r="AB233" s="24"/>
    </row>
    <row r="234" spans="1:28" s="1" customFormat="1" ht="12.75">
      <c r="A234" s="20" t="s">
        <v>585</v>
      </c>
      <c r="B234" s="21" t="s">
        <v>630</v>
      </c>
      <c r="C234" s="22" t="s">
        <v>622</v>
      </c>
      <c r="D234" s="22" t="s">
        <v>171</v>
      </c>
      <c r="E234" s="23" t="s">
        <v>185</v>
      </c>
      <c r="F234" s="23" t="s">
        <v>631</v>
      </c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 t="s">
        <v>179</v>
      </c>
      <c r="V234" s="23"/>
      <c r="W234" s="23" t="s">
        <v>180</v>
      </c>
      <c r="X234" s="23" t="s">
        <v>41</v>
      </c>
      <c r="Y234" s="23" t="s">
        <v>181</v>
      </c>
      <c r="Z234" s="23" t="s">
        <v>43</v>
      </c>
      <c r="AA234" s="23" t="s">
        <v>44</v>
      </c>
      <c r="AB234" s="24"/>
    </row>
    <row r="235" spans="1:28" s="1" customFormat="1" ht="12.75">
      <c r="A235" s="20" t="s">
        <v>585</v>
      </c>
      <c r="B235" s="21" t="s">
        <v>632</v>
      </c>
      <c r="C235" s="22" t="s">
        <v>633</v>
      </c>
      <c r="D235" s="22" t="s">
        <v>85</v>
      </c>
      <c r="E235" s="23" t="s">
        <v>200</v>
      </c>
      <c r="F235" s="23" t="s">
        <v>634</v>
      </c>
      <c r="G235" s="23" t="s">
        <v>88</v>
      </c>
      <c r="H235" s="23" t="s">
        <v>635</v>
      </c>
      <c r="I235" s="23" t="s">
        <v>203</v>
      </c>
      <c r="J235" s="23" t="s">
        <v>88</v>
      </c>
      <c r="K235" s="23" t="s">
        <v>635</v>
      </c>
      <c r="L235" s="23" t="s">
        <v>203</v>
      </c>
      <c r="M235" s="23"/>
      <c r="N235" s="23"/>
      <c r="O235" s="23"/>
      <c r="P235" s="23"/>
      <c r="Q235" s="23"/>
      <c r="R235" s="23"/>
      <c r="S235" s="23"/>
      <c r="T235" s="23"/>
      <c r="U235" s="23" t="s">
        <v>93</v>
      </c>
      <c r="V235" s="23" t="s">
        <v>591</v>
      </c>
      <c r="W235" s="23" t="s">
        <v>94</v>
      </c>
      <c r="X235" s="23" t="s">
        <v>41</v>
      </c>
      <c r="Y235" s="23" t="s">
        <v>95</v>
      </c>
      <c r="Z235" s="23" t="s">
        <v>43</v>
      </c>
      <c r="AA235" s="23" t="s">
        <v>44</v>
      </c>
      <c r="AB235" s="24"/>
    </row>
    <row r="236" spans="1:28" s="1" customFormat="1" ht="12.75">
      <c r="A236" s="20" t="s">
        <v>585</v>
      </c>
      <c r="B236" s="21" t="s">
        <v>636</v>
      </c>
      <c r="C236" s="22" t="s">
        <v>633</v>
      </c>
      <c r="D236" s="22" t="s">
        <v>41</v>
      </c>
      <c r="E236" s="23" t="s">
        <v>205</v>
      </c>
      <c r="F236" s="23" t="s">
        <v>634</v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 t="s">
        <v>55</v>
      </c>
      <c r="V236" s="23"/>
      <c r="W236" s="23" t="s">
        <v>56</v>
      </c>
      <c r="X236" s="23" t="s">
        <v>41</v>
      </c>
      <c r="Y236" s="23" t="s">
        <v>56</v>
      </c>
      <c r="Z236" s="23" t="s">
        <v>43</v>
      </c>
      <c r="AA236" s="23" t="s">
        <v>44</v>
      </c>
      <c r="AB236" s="24"/>
    </row>
    <row r="237" spans="1:28" s="1" customFormat="1" ht="12.75">
      <c r="A237" s="20" t="s">
        <v>585</v>
      </c>
      <c r="B237" s="21" t="s">
        <v>637</v>
      </c>
      <c r="C237" s="22" t="s">
        <v>633</v>
      </c>
      <c r="D237" s="22" t="s">
        <v>41</v>
      </c>
      <c r="E237" s="23" t="s">
        <v>332</v>
      </c>
      <c r="F237" s="23" t="s">
        <v>638</v>
      </c>
      <c r="G237" s="23"/>
      <c r="H237" s="23"/>
      <c r="I237" s="23"/>
      <c r="J237" s="23"/>
      <c r="K237" s="23"/>
      <c r="L237" s="23"/>
      <c r="M237" s="23"/>
      <c r="N237" s="23"/>
      <c r="O237" s="23"/>
      <c r="P237" s="23" t="s">
        <v>639</v>
      </c>
      <c r="Q237" s="23"/>
      <c r="R237" s="23"/>
      <c r="S237" s="23" t="s">
        <v>203</v>
      </c>
      <c r="T237" s="23"/>
      <c r="U237" s="23" t="s">
        <v>55</v>
      </c>
      <c r="V237" s="23"/>
      <c r="W237" s="23" t="s">
        <v>56</v>
      </c>
      <c r="X237" s="23" t="s">
        <v>41</v>
      </c>
      <c r="Y237" s="23" t="s">
        <v>56</v>
      </c>
      <c r="Z237" s="23" t="s">
        <v>43</v>
      </c>
      <c r="AA237" s="23" t="s">
        <v>44</v>
      </c>
      <c r="AB237" s="24"/>
    </row>
    <row r="238" spans="1:28" s="1" customFormat="1" ht="12.75">
      <c r="A238" s="20" t="s">
        <v>585</v>
      </c>
      <c r="B238" s="21" t="s">
        <v>640</v>
      </c>
      <c r="C238" s="22" t="s">
        <v>641</v>
      </c>
      <c r="D238" s="22" t="s">
        <v>85</v>
      </c>
      <c r="E238" s="23" t="s">
        <v>200</v>
      </c>
      <c r="F238" s="23" t="s">
        <v>642</v>
      </c>
      <c r="G238" s="23" t="s">
        <v>88</v>
      </c>
      <c r="H238" s="23" t="s">
        <v>635</v>
      </c>
      <c r="I238" s="23" t="s">
        <v>203</v>
      </c>
      <c r="J238" s="23" t="s">
        <v>88</v>
      </c>
      <c r="K238" s="23" t="s">
        <v>635</v>
      </c>
      <c r="L238" s="23" t="s">
        <v>203</v>
      </c>
      <c r="M238" s="23"/>
      <c r="N238" s="23"/>
      <c r="O238" s="23"/>
      <c r="P238" s="23"/>
      <c r="Q238" s="23"/>
      <c r="R238" s="23"/>
      <c r="S238" s="23"/>
      <c r="T238" s="23"/>
      <c r="U238" s="23" t="s">
        <v>93</v>
      </c>
      <c r="V238" s="23" t="s">
        <v>591</v>
      </c>
      <c r="W238" s="23" t="s">
        <v>94</v>
      </c>
      <c r="X238" s="23" t="s">
        <v>41</v>
      </c>
      <c r="Y238" s="23" t="s">
        <v>95</v>
      </c>
      <c r="Z238" s="23" t="s">
        <v>43</v>
      </c>
      <c r="AA238" s="23" t="s">
        <v>44</v>
      </c>
      <c r="AB238" s="24"/>
    </row>
    <row r="239" spans="1:28" s="1" customFormat="1" ht="12.75">
      <c r="A239" s="20" t="s">
        <v>585</v>
      </c>
      <c r="B239" s="21" t="s">
        <v>643</v>
      </c>
      <c r="C239" s="22" t="s">
        <v>641</v>
      </c>
      <c r="D239" s="22" t="s">
        <v>41</v>
      </c>
      <c r="E239" s="23" t="s">
        <v>205</v>
      </c>
      <c r="F239" s="23" t="s">
        <v>642</v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 t="s">
        <v>55</v>
      </c>
      <c r="V239" s="23"/>
      <c r="W239" s="23" t="s">
        <v>56</v>
      </c>
      <c r="X239" s="23" t="s">
        <v>41</v>
      </c>
      <c r="Y239" s="23" t="s">
        <v>56</v>
      </c>
      <c r="Z239" s="23" t="s">
        <v>43</v>
      </c>
      <c r="AA239" s="23" t="s">
        <v>44</v>
      </c>
      <c r="AB239" s="24"/>
    </row>
    <row r="240" spans="1:28" s="1" customFormat="1" ht="12.75">
      <c r="A240" s="20" t="s">
        <v>585</v>
      </c>
      <c r="B240" s="21" t="s">
        <v>644</v>
      </c>
      <c r="C240" s="22" t="s">
        <v>641</v>
      </c>
      <c r="D240" s="22" t="s">
        <v>41</v>
      </c>
      <c r="E240" s="23" t="s">
        <v>332</v>
      </c>
      <c r="F240" s="23" t="s">
        <v>645</v>
      </c>
      <c r="G240" s="23"/>
      <c r="H240" s="23"/>
      <c r="I240" s="23"/>
      <c r="J240" s="23"/>
      <c r="K240" s="23"/>
      <c r="L240" s="23"/>
      <c r="M240" s="23"/>
      <c r="N240" s="23"/>
      <c r="O240" s="23"/>
      <c r="P240" s="23" t="s">
        <v>639</v>
      </c>
      <c r="Q240" s="23"/>
      <c r="R240" s="23"/>
      <c r="S240" s="23" t="s">
        <v>203</v>
      </c>
      <c r="T240" s="23"/>
      <c r="U240" s="23" t="s">
        <v>55</v>
      </c>
      <c r="V240" s="23"/>
      <c r="W240" s="23" t="s">
        <v>56</v>
      </c>
      <c r="X240" s="23" t="s">
        <v>41</v>
      </c>
      <c r="Y240" s="23" t="s">
        <v>56</v>
      </c>
      <c r="Z240" s="23" t="s">
        <v>43</v>
      </c>
      <c r="AA240" s="23" t="s">
        <v>44</v>
      </c>
      <c r="AB240" s="24"/>
    </row>
    <row r="241" spans="1:28" s="1" customFormat="1" ht="12.75">
      <c r="A241" s="20" t="s">
        <v>585</v>
      </c>
      <c r="B241" s="21" t="s">
        <v>646</v>
      </c>
      <c r="C241" s="22" t="s">
        <v>647</v>
      </c>
      <c r="D241" s="22" t="s">
        <v>41</v>
      </c>
      <c r="E241" s="23" t="s">
        <v>247</v>
      </c>
      <c r="F241" s="23" t="s">
        <v>648</v>
      </c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 t="s">
        <v>368</v>
      </c>
      <c r="U241" s="23" t="s">
        <v>55</v>
      </c>
      <c r="V241" s="23"/>
      <c r="W241" s="23" t="s">
        <v>56</v>
      </c>
      <c r="X241" s="23" t="s">
        <v>41</v>
      </c>
      <c r="Y241" s="23" t="s">
        <v>56</v>
      </c>
      <c r="Z241" s="23" t="s">
        <v>43</v>
      </c>
      <c r="AA241" s="23" t="s">
        <v>44</v>
      </c>
      <c r="AB241" s="24"/>
    </row>
    <row r="242" spans="1:28" s="1" customFormat="1" ht="12.75">
      <c r="A242" s="20" t="s">
        <v>585</v>
      </c>
      <c r="B242" s="21" t="s">
        <v>649</v>
      </c>
      <c r="C242" s="22" t="s">
        <v>647</v>
      </c>
      <c r="D242" s="22" t="s">
        <v>85</v>
      </c>
      <c r="E242" s="23" t="s">
        <v>242</v>
      </c>
      <c r="F242" s="23" t="s">
        <v>648</v>
      </c>
      <c r="G242" s="30">
        <v>0</v>
      </c>
      <c r="H242" s="30">
        <v>250</v>
      </c>
      <c r="I242" s="23" t="s">
        <v>245</v>
      </c>
      <c r="J242" s="30">
        <v>0</v>
      </c>
      <c r="K242" s="30">
        <v>250</v>
      </c>
      <c r="L242" s="23" t="s">
        <v>245</v>
      </c>
      <c r="M242" s="23"/>
      <c r="N242" s="23"/>
      <c r="O242" s="23"/>
      <c r="P242" s="23"/>
      <c r="Q242" s="23"/>
      <c r="R242" s="23"/>
      <c r="S242" s="23"/>
      <c r="T242" s="23" t="s">
        <v>368</v>
      </c>
      <c r="U242" s="23" t="s">
        <v>93</v>
      </c>
      <c r="V242" s="23" t="s">
        <v>591</v>
      </c>
      <c r="W242" s="23" t="s">
        <v>94</v>
      </c>
      <c r="X242" s="23" t="s">
        <v>41</v>
      </c>
      <c r="Y242" s="23" t="s">
        <v>95</v>
      </c>
      <c r="Z242" s="23" t="s">
        <v>43</v>
      </c>
      <c r="AA242" s="23" t="s">
        <v>44</v>
      </c>
      <c r="AB242" s="24" t="s">
        <v>403</v>
      </c>
    </row>
    <row r="243" spans="1:28" s="1" customFormat="1" ht="24">
      <c r="A243" s="20" t="s">
        <v>585</v>
      </c>
      <c r="B243" s="21" t="s">
        <v>650</v>
      </c>
      <c r="C243" s="22" t="s">
        <v>647</v>
      </c>
      <c r="D243" s="22" t="s">
        <v>41</v>
      </c>
      <c r="E243" s="23" t="s">
        <v>406</v>
      </c>
      <c r="F243" s="23" t="s">
        <v>651</v>
      </c>
      <c r="G243" s="23"/>
      <c r="H243" s="23"/>
      <c r="I243" s="23"/>
      <c r="J243" s="23"/>
      <c r="K243" s="23"/>
      <c r="L243" s="23"/>
      <c r="M243" s="23" t="s">
        <v>589</v>
      </c>
      <c r="N243" s="23"/>
      <c r="O243" s="23"/>
      <c r="P243" s="23"/>
      <c r="Q243" s="23"/>
      <c r="R243" s="23"/>
      <c r="S243" s="23" t="s">
        <v>245</v>
      </c>
      <c r="T243" s="23" t="s">
        <v>368</v>
      </c>
      <c r="U243" s="23" t="s">
        <v>55</v>
      </c>
      <c r="V243" s="23"/>
      <c r="W243" s="23" t="s">
        <v>56</v>
      </c>
      <c r="X243" s="23" t="s">
        <v>41</v>
      </c>
      <c r="Y243" s="23" t="s">
        <v>56</v>
      </c>
      <c r="Z243" s="23" t="s">
        <v>43</v>
      </c>
      <c r="AA243" s="23" t="s">
        <v>44</v>
      </c>
      <c r="AB243" s="24"/>
    </row>
    <row r="244" spans="1:28" s="1" customFormat="1" ht="24">
      <c r="A244" s="20" t="s">
        <v>585</v>
      </c>
      <c r="B244" s="21" t="s">
        <v>652</v>
      </c>
      <c r="C244" s="22" t="s">
        <v>647</v>
      </c>
      <c r="D244" s="22" t="s">
        <v>41</v>
      </c>
      <c r="E244" s="23" t="s">
        <v>406</v>
      </c>
      <c r="F244" s="23" t="s">
        <v>651</v>
      </c>
      <c r="G244" s="23"/>
      <c r="H244" s="23"/>
      <c r="I244" s="23"/>
      <c r="J244" s="23"/>
      <c r="K244" s="23"/>
      <c r="L244" s="23"/>
      <c r="M244" s="23" t="s">
        <v>653</v>
      </c>
      <c r="N244" s="23"/>
      <c r="O244" s="23"/>
      <c r="P244" s="23"/>
      <c r="Q244" s="23"/>
      <c r="R244" s="23"/>
      <c r="S244" s="23" t="s">
        <v>245</v>
      </c>
      <c r="T244" s="23" t="s">
        <v>368</v>
      </c>
      <c r="U244" s="23" t="s">
        <v>55</v>
      </c>
      <c r="V244" s="23"/>
      <c r="W244" s="23" t="s">
        <v>56</v>
      </c>
      <c r="X244" s="23" t="s">
        <v>41</v>
      </c>
      <c r="Y244" s="23" t="s">
        <v>56</v>
      </c>
      <c r="Z244" s="23" t="s">
        <v>43</v>
      </c>
      <c r="AA244" s="23" t="s">
        <v>44</v>
      </c>
      <c r="AB244" s="24"/>
    </row>
    <row r="245" spans="1:28" s="1" customFormat="1" ht="12.75">
      <c r="A245" s="20" t="s">
        <v>585</v>
      </c>
      <c r="B245" s="21" t="s">
        <v>654</v>
      </c>
      <c r="C245" s="22" t="s">
        <v>655</v>
      </c>
      <c r="D245" s="22" t="s">
        <v>41</v>
      </c>
      <c r="E245" s="23" t="s">
        <v>247</v>
      </c>
      <c r="F245" s="23" t="s">
        <v>648</v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 t="s">
        <v>368</v>
      </c>
      <c r="U245" s="23" t="s">
        <v>55</v>
      </c>
      <c r="V245" s="23"/>
      <c r="W245" s="23" t="s">
        <v>56</v>
      </c>
      <c r="X245" s="23" t="s">
        <v>41</v>
      </c>
      <c r="Y245" s="23" t="s">
        <v>56</v>
      </c>
      <c r="Z245" s="23" t="s">
        <v>43</v>
      </c>
      <c r="AA245" s="23" t="s">
        <v>44</v>
      </c>
      <c r="AB245" s="24"/>
    </row>
    <row r="246" spans="1:28" s="1" customFormat="1" ht="12.75">
      <c r="A246" s="20" t="s">
        <v>585</v>
      </c>
      <c r="B246" s="21" t="s">
        <v>656</v>
      </c>
      <c r="C246" s="22" t="s">
        <v>655</v>
      </c>
      <c r="D246" s="22" t="s">
        <v>85</v>
      </c>
      <c r="E246" s="23" t="s">
        <v>242</v>
      </c>
      <c r="F246" s="23" t="s">
        <v>648</v>
      </c>
      <c r="G246" s="30">
        <v>0</v>
      </c>
      <c r="H246" s="30">
        <v>250</v>
      </c>
      <c r="I246" s="23" t="s">
        <v>245</v>
      </c>
      <c r="J246" s="30">
        <v>0</v>
      </c>
      <c r="K246" s="30">
        <v>250</v>
      </c>
      <c r="L246" s="23" t="s">
        <v>245</v>
      </c>
      <c r="M246" s="23"/>
      <c r="N246" s="23"/>
      <c r="O246" s="23"/>
      <c r="P246" s="23"/>
      <c r="Q246" s="23"/>
      <c r="R246" s="23"/>
      <c r="S246" s="23"/>
      <c r="T246" s="23" t="s">
        <v>368</v>
      </c>
      <c r="U246" s="23" t="s">
        <v>93</v>
      </c>
      <c r="V246" s="23" t="s">
        <v>591</v>
      </c>
      <c r="W246" s="23" t="s">
        <v>94</v>
      </c>
      <c r="X246" s="23" t="s">
        <v>41</v>
      </c>
      <c r="Y246" s="23" t="s">
        <v>95</v>
      </c>
      <c r="Z246" s="23" t="s">
        <v>43</v>
      </c>
      <c r="AA246" s="23" t="s">
        <v>44</v>
      </c>
      <c r="AB246" s="24" t="s">
        <v>403</v>
      </c>
    </row>
    <row r="247" spans="1:28" s="1" customFormat="1" ht="24">
      <c r="A247" s="20" t="s">
        <v>585</v>
      </c>
      <c r="B247" s="21" t="s">
        <v>657</v>
      </c>
      <c r="C247" s="22" t="s">
        <v>655</v>
      </c>
      <c r="D247" s="22" t="s">
        <v>41</v>
      </c>
      <c r="E247" s="23" t="s">
        <v>406</v>
      </c>
      <c r="F247" s="23" t="s">
        <v>651</v>
      </c>
      <c r="G247" s="23"/>
      <c r="H247" s="23"/>
      <c r="I247" s="23"/>
      <c r="J247" s="23"/>
      <c r="K247" s="23"/>
      <c r="L247" s="23"/>
      <c r="M247" s="23" t="s">
        <v>589</v>
      </c>
      <c r="N247" s="23"/>
      <c r="O247" s="23"/>
      <c r="P247" s="23"/>
      <c r="Q247" s="23"/>
      <c r="R247" s="23"/>
      <c r="S247" s="23" t="s">
        <v>245</v>
      </c>
      <c r="T247" s="23" t="s">
        <v>368</v>
      </c>
      <c r="U247" s="23" t="s">
        <v>55</v>
      </c>
      <c r="V247" s="23"/>
      <c r="W247" s="23" t="s">
        <v>56</v>
      </c>
      <c r="X247" s="23" t="s">
        <v>41</v>
      </c>
      <c r="Y247" s="23" t="s">
        <v>56</v>
      </c>
      <c r="Z247" s="23" t="s">
        <v>43</v>
      </c>
      <c r="AA247" s="23" t="s">
        <v>44</v>
      </c>
      <c r="AB247" s="24"/>
    </row>
    <row r="248" spans="1:28" s="1" customFormat="1" ht="24">
      <c r="A248" s="20" t="s">
        <v>585</v>
      </c>
      <c r="B248" s="21" t="s">
        <v>658</v>
      </c>
      <c r="C248" s="22" t="s">
        <v>655</v>
      </c>
      <c r="D248" s="22" t="s">
        <v>41</v>
      </c>
      <c r="E248" s="23" t="s">
        <v>406</v>
      </c>
      <c r="F248" s="23" t="s">
        <v>651</v>
      </c>
      <c r="G248" s="23"/>
      <c r="H248" s="23"/>
      <c r="I248" s="23"/>
      <c r="J248" s="23"/>
      <c r="K248" s="23"/>
      <c r="L248" s="23"/>
      <c r="M248" s="23" t="s">
        <v>653</v>
      </c>
      <c r="N248" s="23"/>
      <c r="O248" s="23"/>
      <c r="P248" s="23"/>
      <c r="Q248" s="23"/>
      <c r="R248" s="23"/>
      <c r="S248" s="23" t="s">
        <v>245</v>
      </c>
      <c r="T248" s="23" t="s">
        <v>368</v>
      </c>
      <c r="U248" s="23" t="s">
        <v>55</v>
      </c>
      <c r="V248" s="23"/>
      <c r="W248" s="23" t="s">
        <v>56</v>
      </c>
      <c r="X248" s="23" t="s">
        <v>41</v>
      </c>
      <c r="Y248" s="23" t="s">
        <v>56</v>
      </c>
      <c r="Z248" s="23" t="s">
        <v>43</v>
      </c>
      <c r="AA248" s="23" t="s">
        <v>44</v>
      </c>
      <c r="AB248" s="24"/>
    </row>
    <row r="249" spans="1:28" s="1" customFormat="1" ht="12.75">
      <c r="A249" s="20" t="s">
        <v>585</v>
      </c>
      <c r="B249" s="21" t="s">
        <v>659</v>
      </c>
      <c r="C249" s="22" t="s">
        <v>660</v>
      </c>
      <c r="D249" s="22" t="s">
        <v>41</v>
      </c>
      <c r="E249" s="23" t="s">
        <v>247</v>
      </c>
      <c r="F249" s="23" t="s">
        <v>661</v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 t="s">
        <v>368</v>
      </c>
      <c r="U249" s="23" t="s">
        <v>55</v>
      </c>
      <c r="V249" s="23"/>
      <c r="W249" s="23" t="s">
        <v>56</v>
      </c>
      <c r="X249" s="23" t="s">
        <v>41</v>
      </c>
      <c r="Y249" s="23" t="s">
        <v>56</v>
      </c>
      <c r="Z249" s="23" t="s">
        <v>43</v>
      </c>
      <c r="AA249" s="23" t="s">
        <v>44</v>
      </c>
      <c r="AB249" s="24"/>
    </row>
    <row r="250" spans="1:28" s="1" customFormat="1" ht="12.75">
      <c r="A250" s="20" t="s">
        <v>585</v>
      </c>
      <c r="B250" s="21" t="s">
        <v>662</v>
      </c>
      <c r="C250" s="22" t="s">
        <v>660</v>
      </c>
      <c r="D250" s="22" t="s">
        <v>85</v>
      </c>
      <c r="E250" s="23" t="s">
        <v>242</v>
      </c>
      <c r="F250" s="23" t="s">
        <v>661</v>
      </c>
      <c r="G250" s="32">
        <v>0</v>
      </c>
      <c r="H250" s="32">
        <v>250</v>
      </c>
      <c r="I250" s="23" t="s">
        <v>245</v>
      </c>
      <c r="J250" s="32">
        <v>0</v>
      </c>
      <c r="K250" s="32">
        <v>250</v>
      </c>
      <c r="L250" s="23" t="s">
        <v>245</v>
      </c>
      <c r="M250" s="23"/>
      <c r="N250" s="23"/>
      <c r="O250" s="23"/>
      <c r="P250" s="23"/>
      <c r="Q250" s="23"/>
      <c r="R250" s="23"/>
      <c r="S250" s="23"/>
      <c r="T250" s="23" t="s">
        <v>368</v>
      </c>
      <c r="U250" s="23" t="s">
        <v>93</v>
      </c>
      <c r="V250" s="23" t="s">
        <v>591</v>
      </c>
      <c r="W250" s="23" t="s">
        <v>94</v>
      </c>
      <c r="X250" s="23" t="s">
        <v>41</v>
      </c>
      <c r="Y250" s="23" t="s">
        <v>95</v>
      </c>
      <c r="Z250" s="23" t="s">
        <v>43</v>
      </c>
      <c r="AA250" s="23" t="s">
        <v>44</v>
      </c>
      <c r="AB250" s="24" t="s">
        <v>403</v>
      </c>
    </row>
    <row r="251" spans="1:28" s="1" customFormat="1" ht="24">
      <c r="A251" s="20" t="s">
        <v>585</v>
      </c>
      <c r="B251" s="21" t="s">
        <v>663</v>
      </c>
      <c r="C251" s="22" t="s">
        <v>660</v>
      </c>
      <c r="D251" s="22" t="s">
        <v>41</v>
      </c>
      <c r="E251" s="23" t="s">
        <v>406</v>
      </c>
      <c r="F251" s="23" t="s">
        <v>664</v>
      </c>
      <c r="G251" s="23"/>
      <c r="H251" s="23"/>
      <c r="I251" s="23"/>
      <c r="J251" s="23"/>
      <c r="K251" s="23"/>
      <c r="L251" s="23"/>
      <c r="M251" s="23" t="s">
        <v>589</v>
      </c>
      <c r="N251" s="23"/>
      <c r="O251" s="23"/>
      <c r="P251" s="23"/>
      <c r="Q251" s="23"/>
      <c r="R251" s="23"/>
      <c r="S251" s="23" t="s">
        <v>245</v>
      </c>
      <c r="T251" s="23" t="s">
        <v>368</v>
      </c>
      <c r="U251" s="23" t="s">
        <v>55</v>
      </c>
      <c r="V251" s="23"/>
      <c r="W251" s="23" t="s">
        <v>56</v>
      </c>
      <c r="X251" s="23" t="s">
        <v>41</v>
      </c>
      <c r="Y251" s="23" t="s">
        <v>56</v>
      </c>
      <c r="Z251" s="23" t="s">
        <v>43</v>
      </c>
      <c r="AA251" s="23" t="s">
        <v>44</v>
      </c>
      <c r="AB251" s="24"/>
    </row>
    <row r="252" spans="1:28" s="1" customFormat="1" ht="24">
      <c r="A252" s="20" t="s">
        <v>585</v>
      </c>
      <c r="B252" s="21" t="s">
        <v>665</v>
      </c>
      <c r="C252" s="22" t="s">
        <v>660</v>
      </c>
      <c r="D252" s="22" t="s">
        <v>41</v>
      </c>
      <c r="E252" s="23" t="s">
        <v>406</v>
      </c>
      <c r="F252" s="23" t="s">
        <v>664</v>
      </c>
      <c r="G252" s="23"/>
      <c r="H252" s="23"/>
      <c r="I252" s="23"/>
      <c r="J252" s="23"/>
      <c r="K252" s="23"/>
      <c r="L252" s="23"/>
      <c r="M252" s="23" t="s">
        <v>653</v>
      </c>
      <c r="N252" s="23"/>
      <c r="O252" s="23"/>
      <c r="P252" s="23"/>
      <c r="Q252" s="23"/>
      <c r="R252" s="23"/>
      <c r="S252" s="23" t="s">
        <v>245</v>
      </c>
      <c r="T252" s="23" t="s">
        <v>368</v>
      </c>
      <c r="U252" s="23" t="s">
        <v>55</v>
      </c>
      <c r="V252" s="23"/>
      <c r="W252" s="23" t="s">
        <v>56</v>
      </c>
      <c r="X252" s="23" t="s">
        <v>41</v>
      </c>
      <c r="Y252" s="23" t="s">
        <v>56</v>
      </c>
      <c r="Z252" s="23" t="s">
        <v>43</v>
      </c>
      <c r="AA252" s="23" t="s">
        <v>44</v>
      </c>
      <c r="AB252" s="24"/>
    </row>
    <row r="253" spans="1:28" s="1" customFormat="1" ht="12.75">
      <c r="A253" s="20" t="s">
        <v>585</v>
      </c>
      <c r="B253" s="21" t="s">
        <v>666</v>
      </c>
      <c r="C253" s="22" t="s">
        <v>667</v>
      </c>
      <c r="D253" s="22" t="s">
        <v>41</v>
      </c>
      <c r="E253" s="23" t="s">
        <v>247</v>
      </c>
      <c r="F253" s="23" t="s">
        <v>668</v>
      </c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 t="s">
        <v>368</v>
      </c>
      <c r="U253" s="23" t="s">
        <v>55</v>
      </c>
      <c r="V253" s="23"/>
      <c r="W253" s="23" t="s">
        <v>56</v>
      </c>
      <c r="X253" s="23" t="s">
        <v>41</v>
      </c>
      <c r="Y253" s="23" t="s">
        <v>56</v>
      </c>
      <c r="Z253" s="23" t="s">
        <v>43</v>
      </c>
      <c r="AA253" s="23" t="s">
        <v>44</v>
      </c>
      <c r="AB253" s="24"/>
    </row>
    <row r="254" spans="1:28" s="1" customFormat="1" ht="12.75">
      <c r="A254" s="20" t="s">
        <v>585</v>
      </c>
      <c r="B254" s="21" t="s">
        <v>669</v>
      </c>
      <c r="C254" s="22" t="s">
        <v>667</v>
      </c>
      <c r="D254" s="22" t="s">
        <v>85</v>
      </c>
      <c r="E254" s="23" t="s">
        <v>242</v>
      </c>
      <c r="F254" s="23" t="s">
        <v>668</v>
      </c>
      <c r="G254" s="32">
        <v>0</v>
      </c>
      <c r="H254" s="32">
        <v>250</v>
      </c>
      <c r="I254" s="23" t="s">
        <v>245</v>
      </c>
      <c r="J254" s="32">
        <v>0</v>
      </c>
      <c r="K254" s="32">
        <v>250</v>
      </c>
      <c r="L254" s="23" t="s">
        <v>245</v>
      </c>
      <c r="M254" s="23"/>
      <c r="N254" s="23"/>
      <c r="O254" s="23"/>
      <c r="P254" s="23"/>
      <c r="Q254" s="23"/>
      <c r="R254" s="23"/>
      <c r="S254" s="23"/>
      <c r="T254" s="23" t="s">
        <v>368</v>
      </c>
      <c r="U254" s="23" t="s">
        <v>93</v>
      </c>
      <c r="V254" s="23" t="s">
        <v>591</v>
      </c>
      <c r="W254" s="23" t="s">
        <v>94</v>
      </c>
      <c r="X254" s="23" t="s">
        <v>41</v>
      </c>
      <c r="Y254" s="23" t="s">
        <v>95</v>
      </c>
      <c r="Z254" s="23" t="s">
        <v>43</v>
      </c>
      <c r="AA254" s="23" t="s">
        <v>44</v>
      </c>
      <c r="AB254" s="24" t="s">
        <v>403</v>
      </c>
    </row>
    <row r="255" spans="1:28" s="1" customFormat="1" ht="12.75">
      <c r="A255" s="20" t="s">
        <v>585</v>
      </c>
      <c r="B255" s="21" t="s">
        <v>670</v>
      </c>
      <c r="C255" s="22" t="s">
        <v>667</v>
      </c>
      <c r="D255" s="22" t="s">
        <v>41</v>
      </c>
      <c r="E255" s="23" t="s">
        <v>406</v>
      </c>
      <c r="F255" s="23" t="s">
        <v>671</v>
      </c>
      <c r="G255" s="23"/>
      <c r="H255" s="23"/>
      <c r="I255" s="23"/>
      <c r="J255" s="23"/>
      <c r="K255" s="23"/>
      <c r="L255" s="23"/>
      <c r="M255" s="23" t="s">
        <v>589</v>
      </c>
      <c r="N255" s="23"/>
      <c r="O255" s="23"/>
      <c r="P255" s="23"/>
      <c r="Q255" s="23"/>
      <c r="R255" s="23"/>
      <c r="S255" s="23" t="s">
        <v>245</v>
      </c>
      <c r="T255" s="23" t="s">
        <v>368</v>
      </c>
      <c r="U255" s="23" t="s">
        <v>55</v>
      </c>
      <c r="V255" s="23"/>
      <c r="W255" s="23" t="s">
        <v>56</v>
      </c>
      <c r="X255" s="23" t="s">
        <v>41</v>
      </c>
      <c r="Y255" s="23" t="s">
        <v>56</v>
      </c>
      <c r="Z255" s="23" t="s">
        <v>43</v>
      </c>
      <c r="AA255" s="23" t="s">
        <v>44</v>
      </c>
      <c r="AB255" s="24"/>
    </row>
    <row r="256" spans="1:28" s="1" customFormat="1" ht="12.75">
      <c r="A256" s="20" t="s">
        <v>585</v>
      </c>
      <c r="B256" s="21" t="s">
        <v>672</v>
      </c>
      <c r="C256" s="22" t="s">
        <v>667</v>
      </c>
      <c r="D256" s="22" t="s">
        <v>41</v>
      </c>
      <c r="E256" s="23" t="s">
        <v>406</v>
      </c>
      <c r="F256" s="23" t="s">
        <v>671</v>
      </c>
      <c r="G256" s="23"/>
      <c r="H256" s="23"/>
      <c r="I256" s="23"/>
      <c r="J256" s="23"/>
      <c r="K256" s="23"/>
      <c r="L256" s="23"/>
      <c r="M256" s="23" t="s">
        <v>653</v>
      </c>
      <c r="N256" s="23"/>
      <c r="O256" s="23"/>
      <c r="P256" s="23"/>
      <c r="Q256" s="23"/>
      <c r="R256" s="23"/>
      <c r="S256" s="23" t="s">
        <v>245</v>
      </c>
      <c r="T256" s="23" t="s">
        <v>368</v>
      </c>
      <c r="U256" s="23" t="s">
        <v>55</v>
      </c>
      <c r="V256" s="23"/>
      <c r="W256" s="23" t="s">
        <v>56</v>
      </c>
      <c r="X256" s="23" t="s">
        <v>41</v>
      </c>
      <c r="Y256" s="23" t="s">
        <v>56</v>
      </c>
      <c r="Z256" s="23" t="s">
        <v>43</v>
      </c>
      <c r="AA256" s="23" t="s">
        <v>44</v>
      </c>
      <c r="AB256" s="24"/>
    </row>
    <row r="257" spans="1:28" s="1" customFormat="1" ht="12.75">
      <c r="A257" s="20" t="s">
        <v>585</v>
      </c>
      <c r="B257" s="21" t="s">
        <v>673</v>
      </c>
      <c r="C257" s="22" t="s">
        <v>674</v>
      </c>
      <c r="D257" s="22" t="s">
        <v>41</v>
      </c>
      <c r="E257" s="23" t="s">
        <v>247</v>
      </c>
      <c r="F257" s="23" t="s">
        <v>675</v>
      </c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 t="s">
        <v>368</v>
      </c>
      <c r="U257" s="23" t="s">
        <v>55</v>
      </c>
      <c r="V257" s="23"/>
      <c r="W257" s="23" t="s">
        <v>56</v>
      </c>
      <c r="X257" s="23" t="s">
        <v>41</v>
      </c>
      <c r="Y257" s="23" t="s">
        <v>56</v>
      </c>
      <c r="Z257" s="23" t="s">
        <v>43</v>
      </c>
      <c r="AA257" s="23" t="s">
        <v>44</v>
      </c>
      <c r="AB257" s="24"/>
    </row>
    <row r="258" spans="1:28" s="1" customFormat="1" ht="12.75">
      <c r="A258" s="20" t="s">
        <v>585</v>
      </c>
      <c r="B258" s="21" t="s">
        <v>676</v>
      </c>
      <c r="C258" s="22" t="s">
        <v>674</v>
      </c>
      <c r="D258" s="22" t="s">
        <v>85</v>
      </c>
      <c r="E258" s="23" t="s">
        <v>242</v>
      </c>
      <c r="F258" s="23" t="s">
        <v>675</v>
      </c>
      <c r="G258" s="32">
        <v>0</v>
      </c>
      <c r="H258" s="32">
        <v>250</v>
      </c>
      <c r="I258" s="23" t="s">
        <v>245</v>
      </c>
      <c r="J258" s="32">
        <v>0</v>
      </c>
      <c r="K258" s="32">
        <v>250</v>
      </c>
      <c r="L258" s="23" t="s">
        <v>245</v>
      </c>
      <c r="M258" s="23"/>
      <c r="N258" s="23"/>
      <c r="O258" s="23"/>
      <c r="P258" s="23"/>
      <c r="Q258" s="23"/>
      <c r="R258" s="23"/>
      <c r="S258" s="23"/>
      <c r="T258" s="23" t="s">
        <v>368</v>
      </c>
      <c r="U258" s="23" t="s">
        <v>93</v>
      </c>
      <c r="V258" s="23" t="s">
        <v>591</v>
      </c>
      <c r="W258" s="23" t="s">
        <v>94</v>
      </c>
      <c r="X258" s="23" t="s">
        <v>41</v>
      </c>
      <c r="Y258" s="23" t="s">
        <v>95</v>
      </c>
      <c r="Z258" s="23" t="s">
        <v>43</v>
      </c>
      <c r="AA258" s="23" t="s">
        <v>44</v>
      </c>
      <c r="AB258" s="24" t="s">
        <v>403</v>
      </c>
    </row>
    <row r="259" spans="1:28" s="1" customFormat="1" ht="12.75">
      <c r="A259" s="20" t="s">
        <v>585</v>
      </c>
      <c r="B259" s="21" t="s">
        <v>677</v>
      </c>
      <c r="C259" s="22" t="s">
        <v>674</v>
      </c>
      <c r="D259" s="22" t="s">
        <v>41</v>
      </c>
      <c r="E259" s="23" t="s">
        <v>406</v>
      </c>
      <c r="F259" s="23" t="s">
        <v>678</v>
      </c>
      <c r="G259" s="23"/>
      <c r="H259" s="23"/>
      <c r="I259" s="23"/>
      <c r="J259" s="23"/>
      <c r="K259" s="23"/>
      <c r="L259" s="23"/>
      <c r="M259" s="23" t="s">
        <v>589</v>
      </c>
      <c r="N259" s="23"/>
      <c r="O259" s="23"/>
      <c r="P259" s="23"/>
      <c r="Q259" s="23"/>
      <c r="R259" s="23"/>
      <c r="S259" s="23" t="s">
        <v>245</v>
      </c>
      <c r="T259" s="23" t="s">
        <v>368</v>
      </c>
      <c r="U259" s="23" t="s">
        <v>55</v>
      </c>
      <c r="V259" s="23"/>
      <c r="W259" s="23" t="s">
        <v>56</v>
      </c>
      <c r="X259" s="23" t="s">
        <v>41</v>
      </c>
      <c r="Y259" s="23" t="s">
        <v>56</v>
      </c>
      <c r="Z259" s="23" t="s">
        <v>43</v>
      </c>
      <c r="AA259" s="23" t="s">
        <v>44</v>
      </c>
      <c r="AB259" s="24"/>
    </row>
    <row r="260" spans="1:28" s="1" customFormat="1" ht="12.75">
      <c r="A260" s="20" t="s">
        <v>585</v>
      </c>
      <c r="B260" s="21" t="s">
        <v>679</v>
      </c>
      <c r="C260" s="22" t="s">
        <v>674</v>
      </c>
      <c r="D260" s="22" t="s">
        <v>41</v>
      </c>
      <c r="E260" s="23" t="s">
        <v>406</v>
      </c>
      <c r="F260" s="23" t="s">
        <v>678</v>
      </c>
      <c r="G260" s="23"/>
      <c r="H260" s="23"/>
      <c r="I260" s="23"/>
      <c r="J260" s="23"/>
      <c r="K260" s="23"/>
      <c r="L260" s="23"/>
      <c r="M260" s="23" t="s">
        <v>653</v>
      </c>
      <c r="N260" s="23"/>
      <c r="O260" s="23"/>
      <c r="P260" s="23"/>
      <c r="Q260" s="23"/>
      <c r="R260" s="23"/>
      <c r="S260" s="23" t="s">
        <v>245</v>
      </c>
      <c r="T260" s="23" t="s">
        <v>368</v>
      </c>
      <c r="U260" s="23" t="s">
        <v>55</v>
      </c>
      <c r="V260" s="23"/>
      <c r="W260" s="23" t="s">
        <v>56</v>
      </c>
      <c r="X260" s="23" t="s">
        <v>41</v>
      </c>
      <c r="Y260" s="23" t="s">
        <v>56</v>
      </c>
      <c r="Z260" s="23" t="s">
        <v>43</v>
      </c>
      <c r="AA260" s="23" t="s">
        <v>44</v>
      </c>
      <c r="AB260" s="24"/>
    </row>
    <row r="261" spans="1:28" s="1" customFormat="1" ht="12.75">
      <c r="A261" s="20" t="s">
        <v>585</v>
      </c>
      <c r="B261" s="21" t="s">
        <v>680</v>
      </c>
      <c r="C261" s="22" t="s">
        <v>681</v>
      </c>
      <c r="D261" s="22" t="s">
        <v>41</v>
      </c>
      <c r="E261" s="23" t="s">
        <v>247</v>
      </c>
      <c r="F261" s="23" t="s">
        <v>661</v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 t="s">
        <v>368</v>
      </c>
      <c r="U261" s="23" t="s">
        <v>55</v>
      </c>
      <c r="V261" s="23"/>
      <c r="W261" s="23" t="s">
        <v>56</v>
      </c>
      <c r="X261" s="23" t="s">
        <v>41</v>
      </c>
      <c r="Y261" s="23" t="s">
        <v>56</v>
      </c>
      <c r="Z261" s="23" t="s">
        <v>43</v>
      </c>
      <c r="AA261" s="23" t="s">
        <v>44</v>
      </c>
      <c r="AB261" s="24"/>
    </row>
    <row r="262" spans="1:28" s="1" customFormat="1" ht="12.75">
      <c r="A262" s="20" t="s">
        <v>585</v>
      </c>
      <c r="B262" s="21" t="s">
        <v>682</v>
      </c>
      <c r="C262" s="22" t="s">
        <v>681</v>
      </c>
      <c r="D262" s="22" t="s">
        <v>85</v>
      </c>
      <c r="E262" s="23" t="s">
        <v>242</v>
      </c>
      <c r="F262" s="23" t="s">
        <v>661</v>
      </c>
      <c r="G262" s="32">
        <v>0</v>
      </c>
      <c r="H262" s="32">
        <v>250</v>
      </c>
      <c r="I262" s="23" t="s">
        <v>245</v>
      </c>
      <c r="J262" s="32">
        <v>0</v>
      </c>
      <c r="K262" s="32">
        <v>250</v>
      </c>
      <c r="L262" s="23" t="s">
        <v>245</v>
      </c>
      <c r="M262" s="23"/>
      <c r="N262" s="23"/>
      <c r="O262" s="23"/>
      <c r="P262" s="23"/>
      <c r="Q262" s="23"/>
      <c r="R262" s="23"/>
      <c r="S262" s="23"/>
      <c r="T262" s="23" t="s">
        <v>368</v>
      </c>
      <c r="U262" s="23" t="s">
        <v>93</v>
      </c>
      <c r="V262" s="23" t="s">
        <v>591</v>
      </c>
      <c r="W262" s="23" t="s">
        <v>94</v>
      </c>
      <c r="X262" s="23" t="s">
        <v>41</v>
      </c>
      <c r="Y262" s="23" t="s">
        <v>95</v>
      </c>
      <c r="Z262" s="23" t="s">
        <v>43</v>
      </c>
      <c r="AA262" s="23" t="s">
        <v>44</v>
      </c>
      <c r="AB262" s="24" t="s">
        <v>403</v>
      </c>
    </row>
    <row r="263" spans="1:28" s="1" customFormat="1" ht="24">
      <c r="A263" s="20" t="s">
        <v>585</v>
      </c>
      <c r="B263" s="21" t="s">
        <v>683</v>
      </c>
      <c r="C263" s="22" t="s">
        <v>681</v>
      </c>
      <c r="D263" s="22" t="s">
        <v>41</v>
      </c>
      <c r="E263" s="23" t="s">
        <v>406</v>
      </c>
      <c r="F263" s="23" t="s">
        <v>684</v>
      </c>
      <c r="G263" s="23"/>
      <c r="H263" s="23"/>
      <c r="I263" s="23"/>
      <c r="J263" s="23"/>
      <c r="K263" s="23"/>
      <c r="L263" s="23"/>
      <c r="M263" s="23" t="s">
        <v>589</v>
      </c>
      <c r="N263" s="23"/>
      <c r="O263" s="23"/>
      <c r="P263" s="23"/>
      <c r="Q263" s="23"/>
      <c r="R263" s="23"/>
      <c r="S263" s="23" t="s">
        <v>245</v>
      </c>
      <c r="T263" s="23" t="s">
        <v>368</v>
      </c>
      <c r="U263" s="23" t="s">
        <v>55</v>
      </c>
      <c r="V263" s="23"/>
      <c r="W263" s="23" t="s">
        <v>56</v>
      </c>
      <c r="X263" s="23" t="s">
        <v>41</v>
      </c>
      <c r="Y263" s="23" t="s">
        <v>56</v>
      </c>
      <c r="Z263" s="23" t="s">
        <v>43</v>
      </c>
      <c r="AA263" s="23" t="s">
        <v>44</v>
      </c>
      <c r="AB263" s="24"/>
    </row>
    <row r="264" spans="1:28" s="1" customFormat="1" ht="24">
      <c r="A264" s="20" t="s">
        <v>585</v>
      </c>
      <c r="B264" s="21" t="s">
        <v>685</v>
      </c>
      <c r="C264" s="22" t="s">
        <v>681</v>
      </c>
      <c r="D264" s="22" t="s">
        <v>41</v>
      </c>
      <c r="E264" s="23" t="s">
        <v>406</v>
      </c>
      <c r="F264" s="23" t="s">
        <v>684</v>
      </c>
      <c r="G264" s="23"/>
      <c r="H264" s="23"/>
      <c r="I264" s="23"/>
      <c r="J264" s="23"/>
      <c r="K264" s="23"/>
      <c r="L264" s="23"/>
      <c r="M264" s="23" t="s">
        <v>653</v>
      </c>
      <c r="N264" s="23"/>
      <c r="O264" s="23"/>
      <c r="P264" s="23"/>
      <c r="Q264" s="23"/>
      <c r="R264" s="23"/>
      <c r="S264" s="23" t="s">
        <v>245</v>
      </c>
      <c r="T264" s="23" t="s">
        <v>368</v>
      </c>
      <c r="U264" s="23" t="s">
        <v>55</v>
      </c>
      <c r="V264" s="23"/>
      <c r="W264" s="23" t="s">
        <v>56</v>
      </c>
      <c r="X264" s="23" t="s">
        <v>41</v>
      </c>
      <c r="Y264" s="23" t="s">
        <v>56</v>
      </c>
      <c r="Z264" s="23" t="s">
        <v>43</v>
      </c>
      <c r="AA264" s="23" t="s">
        <v>44</v>
      </c>
      <c r="AB264" s="24"/>
    </row>
    <row r="265" spans="1:28" s="1" customFormat="1" ht="12.75">
      <c r="A265" s="20" t="s">
        <v>585</v>
      </c>
      <c r="B265" s="21" t="s">
        <v>686</v>
      </c>
      <c r="C265" s="22" t="s">
        <v>687</v>
      </c>
      <c r="D265" s="22" t="s">
        <v>85</v>
      </c>
      <c r="E265" s="23" t="s">
        <v>565</v>
      </c>
      <c r="F265" s="23" t="s">
        <v>688</v>
      </c>
      <c r="G265" s="23" t="s">
        <v>88</v>
      </c>
      <c r="H265" s="23" t="s">
        <v>567</v>
      </c>
      <c r="I265" s="23" t="s">
        <v>568</v>
      </c>
      <c r="J265" s="23" t="s">
        <v>88</v>
      </c>
      <c r="K265" s="23" t="s">
        <v>567</v>
      </c>
      <c r="L265" s="23" t="s">
        <v>568</v>
      </c>
      <c r="M265" s="23"/>
      <c r="N265" s="23"/>
      <c r="O265" s="23"/>
      <c r="P265" s="23"/>
      <c r="Q265" s="23"/>
      <c r="R265" s="23"/>
      <c r="S265" s="23"/>
      <c r="T265" s="23" t="s">
        <v>368</v>
      </c>
      <c r="U265" s="23" t="s">
        <v>569</v>
      </c>
      <c r="V265" s="23" t="s">
        <v>591</v>
      </c>
      <c r="W265" s="23" t="s">
        <v>94</v>
      </c>
      <c r="X265" s="23" t="s">
        <v>41</v>
      </c>
      <c r="Y265" s="23" t="s">
        <v>42</v>
      </c>
      <c r="Z265" s="23" t="s">
        <v>43</v>
      </c>
      <c r="AA265" s="23" t="s">
        <v>44</v>
      </c>
      <c r="AB265" s="24"/>
    </row>
    <row r="266" spans="1:28" s="1" customFormat="1" ht="12.75">
      <c r="A266" s="20" t="s">
        <v>585</v>
      </c>
      <c r="B266" s="21" t="s">
        <v>689</v>
      </c>
      <c r="C266" s="22" t="s">
        <v>687</v>
      </c>
      <c r="D266" s="22" t="s">
        <v>41</v>
      </c>
      <c r="E266" s="23" t="s">
        <v>571</v>
      </c>
      <c r="F266" s="23" t="s">
        <v>690</v>
      </c>
      <c r="G266" s="23"/>
      <c r="H266" s="23"/>
      <c r="I266" s="23"/>
      <c r="J266" s="23"/>
      <c r="K266" s="23"/>
      <c r="L266" s="23"/>
      <c r="M266" s="23" t="s">
        <v>573</v>
      </c>
      <c r="N266" s="23"/>
      <c r="O266" s="23"/>
      <c r="P266" s="23"/>
      <c r="Q266" s="23"/>
      <c r="R266" s="23"/>
      <c r="S266" s="23" t="s">
        <v>568</v>
      </c>
      <c r="T266" s="23" t="s">
        <v>368</v>
      </c>
      <c r="U266" s="23" t="s">
        <v>55</v>
      </c>
      <c r="V266" s="23"/>
      <c r="W266" s="23" t="s">
        <v>56</v>
      </c>
      <c r="X266" s="23" t="s">
        <v>41</v>
      </c>
      <c r="Y266" s="23" t="s">
        <v>56</v>
      </c>
      <c r="Z266" s="23" t="s">
        <v>43</v>
      </c>
      <c r="AA266" s="23" t="s">
        <v>44</v>
      </c>
      <c r="AB266" s="24"/>
    </row>
    <row r="267" spans="1:28" s="1" customFormat="1" ht="12.75">
      <c r="A267" s="20" t="s">
        <v>585</v>
      </c>
      <c r="B267" s="21" t="s">
        <v>691</v>
      </c>
      <c r="C267" s="22" t="s">
        <v>687</v>
      </c>
      <c r="D267" s="22" t="s">
        <v>41</v>
      </c>
      <c r="E267" s="23" t="s">
        <v>575</v>
      </c>
      <c r="F267" s="23" t="s">
        <v>688</v>
      </c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 t="s">
        <v>368</v>
      </c>
      <c r="U267" s="23" t="s">
        <v>55</v>
      </c>
      <c r="V267" s="23"/>
      <c r="W267" s="23" t="s">
        <v>56</v>
      </c>
      <c r="X267" s="23" t="s">
        <v>41</v>
      </c>
      <c r="Y267" s="23" t="s">
        <v>56</v>
      </c>
      <c r="Z267" s="23" t="s">
        <v>43</v>
      </c>
      <c r="AA267" s="23" t="s">
        <v>44</v>
      </c>
      <c r="AB267" s="24"/>
    </row>
    <row r="268" spans="1:28" s="1" customFormat="1" ht="12.75">
      <c r="A268" s="20" t="s">
        <v>585</v>
      </c>
      <c r="B268" s="21" t="s">
        <v>692</v>
      </c>
      <c r="C268" s="22" t="s">
        <v>687</v>
      </c>
      <c r="D268" s="22" t="s">
        <v>41</v>
      </c>
      <c r="E268" s="23" t="s">
        <v>571</v>
      </c>
      <c r="F268" s="23" t="s">
        <v>690</v>
      </c>
      <c r="G268" s="23"/>
      <c r="H268" s="23"/>
      <c r="I268" s="23"/>
      <c r="J268" s="23"/>
      <c r="K268" s="23"/>
      <c r="L268" s="23"/>
      <c r="M268" s="23" t="s">
        <v>577</v>
      </c>
      <c r="N268" s="23"/>
      <c r="O268" s="23"/>
      <c r="P268" s="23"/>
      <c r="Q268" s="23"/>
      <c r="R268" s="23"/>
      <c r="S268" s="23" t="s">
        <v>568</v>
      </c>
      <c r="T268" s="23" t="s">
        <v>368</v>
      </c>
      <c r="U268" s="23" t="s">
        <v>55</v>
      </c>
      <c r="V268" s="23"/>
      <c r="W268" s="23" t="s">
        <v>56</v>
      </c>
      <c r="X268" s="23" t="s">
        <v>41</v>
      </c>
      <c r="Y268" s="23" t="s">
        <v>56</v>
      </c>
      <c r="Z268" s="23" t="s">
        <v>43</v>
      </c>
      <c r="AA268" s="23" t="s">
        <v>44</v>
      </c>
      <c r="AB268" s="24"/>
    </row>
    <row r="269" spans="1:28" s="1" customFormat="1" ht="12.75">
      <c r="A269" s="20" t="s">
        <v>585</v>
      </c>
      <c r="B269" s="21" t="s">
        <v>693</v>
      </c>
      <c r="C269" s="22" t="s">
        <v>694</v>
      </c>
      <c r="D269" s="22" t="s">
        <v>85</v>
      </c>
      <c r="E269" s="23" t="s">
        <v>565</v>
      </c>
      <c r="F269" s="23" t="s">
        <v>695</v>
      </c>
      <c r="G269" s="23" t="s">
        <v>88</v>
      </c>
      <c r="H269" s="23" t="s">
        <v>567</v>
      </c>
      <c r="I269" s="23" t="s">
        <v>568</v>
      </c>
      <c r="J269" s="23" t="s">
        <v>88</v>
      </c>
      <c r="K269" s="23" t="s">
        <v>567</v>
      </c>
      <c r="L269" s="23" t="s">
        <v>568</v>
      </c>
      <c r="M269" s="23"/>
      <c r="N269" s="23"/>
      <c r="O269" s="23"/>
      <c r="P269" s="23"/>
      <c r="Q269" s="23"/>
      <c r="R269" s="23"/>
      <c r="S269" s="23"/>
      <c r="T269" s="23" t="s">
        <v>368</v>
      </c>
      <c r="U269" s="23" t="s">
        <v>569</v>
      </c>
      <c r="V269" s="23" t="s">
        <v>591</v>
      </c>
      <c r="W269" s="23" t="s">
        <v>94</v>
      </c>
      <c r="X269" s="23" t="s">
        <v>41</v>
      </c>
      <c r="Y269" s="23" t="s">
        <v>42</v>
      </c>
      <c r="Z269" s="23" t="s">
        <v>43</v>
      </c>
      <c r="AA269" s="23" t="s">
        <v>44</v>
      </c>
      <c r="AB269" s="24"/>
    </row>
    <row r="270" spans="1:28" s="1" customFormat="1" ht="12.75">
      <c r="A270" s="20" t="s">
        <v>585</v>
      </c>
      <c r="B270" s="21" t="s">
        <v>696</v>
      </c>
      <c r="C270" s="22" t="s">
        <v>694</v>
      </c>
      <c r="D270" s="22" t="s">
        <v>41</v>
      </c>
      <c r="E270" s="23" t="s">
        <v>571</v>
      </c>
      <c r="F270" s="23" t="s">
        <v>697</v>
      </c>
      <c r="G270" s="23"/>
      <c r="H270" s="23"/>
      <c r="I270" s="23"/>
      <c r="J270" s="23"/>
      <c r="K270" s="23"/>
      <c r="L270" s="23"/>
      <c r="M270" s="23" t="s">
        <v>573</v>
      </c>
      <c r="N270" s="23"/>
      <c r="O270" s="23"/>
      <c r="P270" s="23"/>
      <c r="Q270" s="23"/>
      <c r="R270" s="23"/>
      <c r="S270" s="23" t="s">
        <v>568</v>
      </c>
      <c r="T270" s="23" t="s">
        <v>368</v>
      </c>
      <c r="U270" s="23" t="s">
        <v>55</v>
      </c>
      <c r="V270" s="23"/>
      <c r="W270" s="23" t="s">
        <v>56</v>
      </c>
      <c r="X270" s="23" t="s">
        <v>41</v>
      </c>
      <c r="Y270" s="23" t="s">
        <v>56</v>
      </c>
      <c r="Z270" s="23" t="s">
        <v>43</v>
      </c>
      <c r="AA270" s="23" t="s">
        <v>44</v>
      </c>
      <c r="AB270" s="24"/>
    </row>
    <row r="271" spans="1:28" s="1" customFormat="1" ht="12.75">
      <c r="A271" s="20" t="s">
        <v>585</v>
      </c>
      <c r="B271" s="21" t="s">
        <v>698</v>
      </c>
      <c r="C271" s="22" t="s">
        <v>694</v>
      </c>
      <c r="D271" s="22" t="s">
        <v>41</v>
      </c>
      <c r="E271" s="23" t="s">
        <v>575</v>
      </c>
      <c r="F271" s="23" t="s">
        <v>695</v>
      </c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 t="s">
        <v>368</v>
      </c>
      <c r="U271" s="23" t="s">
        <v>55</v>
      </c>
      <c r="V271" s="23"/>
      <c r="W271" s="23" t="s">
        <v>56</v>
      </c>
      <c r="X271" s="23" t="s">
        <v>41</v>
      </c>
      <c r="Y271" s="23" t="s">
        <v>56</v>
      </c>
      <c r="Z271" s="23" t="s">
        <v>43</v>
      </c>
      <c r="AA271" s="23" t="s">
        <v>44</v>
      </c>
      <c r="AB271" s="24"/>
    </row>
    <row r="272" spans="1:28" s="1" customFormat="1" ht="12.75">
      <c r="A272" s="20" t="s">
        <v>585</v>
      </c>
      <c r="B272" s="21" t="s">
        <v>699</v>
      </c>
      <c r="C272" s="22" t="s">
        <v>694</v>
      </c>
      <c r="D272" s="22" t="s">
        <v>41</v>
      </c>
      <c r="E272" s="23" t="s">
        <v>571</v>
      </c>
      <c r="F272" s="23" t="s">
        <v>697</v>
      </c>
      <c r="G272" s="23"/>
      <c r="H272" s="23"/>
      <c r="I272" s="23"/>
      <c r="J272" s="23"/>
      <c r="K272" s="23"/>
      <c r="L272" s="23"/>
      <c r="M272" s="23" t="s">
        <v>577</v>
      </c>
      <c r="N272" s="23"/>
      <c r="O272" s="23"/>
      <c r="P272" s="23"/>
      <c r="Q272" s="23"/>
      <c r="R272" s="23"/>
      <c r="S272" s="23" t="s">
        <v>568</v>
      </c>
      <c r="T272" s="23" t="s">
        <v>368</v>
      </c>
      <c r="U272" s="23" t="s">
        <v>55</v>
      </c>
      <c r="V272" s="23"/>
      <c r="W272" s="23" t="s">
        <v>56</v>
      </c>
      <c r="X272" s="23" t="s">
        <v>41</v>
      </c>
      <c r="Y272" s="23" t="s">
        <v>56</v>
      </c>
      <c r="Z272" s="23" t="s">
        <v>43</v>
      </c>
      <c r="AA272" s="23" t="s">
        <v>44</v>
      </c>
      <c r="AB272" s="2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1DAB-DC9C-4534-85CA-D71A7AA716EA}">
  <dimension ref="A1:C9"/>
  <sheetViews>
    <sheetView workbookViewId="0"/>
  </sheetViews>
  <sheetFormatPr defaultRowHeight="15"/>
  <cols>
    <col min="1" max="1" width="47.5703125" customWidth="1"/>
    <col min="2" max="2" width="68.5703125" customWidth="1"/>
    <col min="3" max="3" width="19" customWidth="1"/>
  </cols>
  <sheetData>
    <row r="1" spans="1:3" ht="27.75" customHeight="1">
      <c r="A1" s="8" t="s">
        <v>700</v>
      </c>
      <c r="B1" s="8"/>
      <c r="C1" s="8"/>
    </row>
    <row r="2" spans="1:3" ht="27.75" customHeight="1">
      <c r="A2" s="9" t="s">
        <v>701</v>
      </c>
      <c r="B2" s="9"/>
      <c r="C2" s="9"/>
    </row>
    <row r="3" spans="1:3">
      <c r="A3" s="10" t="s">
        <v>702</v>
      </c>
      <c r="B3" s="10" t="s">
        <v>703</v>
      </c>
      <c r="C3" s="10" t="s">
        <v>704</v>
      </c>
    </row>
    <row r="4" spans="1:3">
      <c r="A4" s="11" t="s">
        <v>705</v>
      </c>
      <c r="B4" s="11" t="s">
        <v>256</v>
      </c>
      <c r="C4" s="35">
        <f>COUNTIF(FilteredIORecords[PID],B4)</f>
        <v>78</v>
      </c>
    </row>
    <row r="5" spans="1:3">
      <c r="A5" s="11" t="s">
        <v>706</v>
      </c>
      <c r="B5" s="11" t="s">
        <v>428</v>
      </c>
      <c r="C5" s="35">
        <f>COUNTIF(FilteredIORecords[PID],B5)</f>
        <v>69</v>
      </c>
    </row>
    <row r="6" spans="1:3">
      <c r="A6" s="11" t="s">
        <v>707</v>
      </c>
      <c r="B6" s="11" t="s">
        <v>32</v>
      </c>
      <c r="C6" s="35">
        <f>COUNTIF(FilteredIORecords[PID],B6)</f>
        <v>67</v>
      </c>
    </row>
    <row r="7" spans="1:3">
      <c r="A7" s="11" t="s">
        <v>708</v>
      </c>
      <c r="B7" s="11" t="s">
        <v>585</v>
      </c>
      <c r="C7" s="35">
        <f>COUNTIF(FilteredIORecords[PID],B7)</f>
        <v>57</v>
      </c>
    </row>
    <row r="8" spans="1:3">
      <c r="A8" s="12" t="s">
        <v>709</v>
      </c>
      <c r="B8" s="12"/>
      <c r="C8" s="36">
        <f>SUM(C4:C7)</f>
        <v>271</v>
      </c>
    </row>
    <row r="9" spans="1:3" ht="45" customHeight="1">
      <c r="A9" s="13" t="s">
        <v>710</v>
      </c>
      <c r="B9" s="13" t="s">
        <v>711</v>
      </c>
      <c r="C9" s="13"/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B9AB-DB05-4AEF-B88B-4AAA1C9089EF}">
  <dimension ref="A1:AB79"/>
  <sheetViews>
    <sheetView workbookViewId="0"/>
  </sheetViews>
  <sheetFormatPr defaultRowHeight="15"/>
  <cols>
    <col min="1" max="2" width="20" style="34" customWidth="1"/>
    <col min="3" max="3" width="18.140625" style="34" customWidth="1"/>
    <col min="4" max="4" width="9.140625" style="34"/>
    <col min="5" max="5" width="41.85546875" style="34" customWidth="1"/>
    <col min="6" max="6" width="49.5703125" style="34" customWidth="1"/>
    <col min="7" max="26" width="9.140625" style="34"/>
    <col min="27" max="27" width="24.7109375" style="34" customWidth="1"/>
    <col min="28" max="28" width="14.28515625" style="34" customWidth="1"/>
  </cols>
  <sheetData>
    <row r="1" spans="1:28" ht="36" customHeight="1">
      <c r="A1" s="33" t="s">
        <v>4</v>
      </c>
      <c r="B1" s="33" t="s">
        <v>5</v>
      </c>
      <c r="C1" s="33" t="s">
        <v>6</v>
      </c>
      <c r="D1" s="33" t="s">
        <v>7</v>
      </c>
      <c r="E1" s="33" t="s">
        <v>8</v>
      </c>
      <c r="F1" s="33" t="s">
        <v>9</v>
      </c>
      <c r="G1" s="33" t="s">
        <v>10</v>
      </c>
      <c r="H1" s="33" t="s">
        <v>11</v>
      </c>
      <c r="I1" s="33" t="s">
        <v>12</v>
      </c>
      <c r="J1" s="33" t="s">
        <v>13</v>
      </c>
      <c r="K1" s="33" t="s">
        <v>14</v>
      </c>
      <c r="L1" s="33" t="s">
        <v>15</v>
      </c>
      <c r="M1" s="33" t="s">
        <v>16</v>
      </c>
      <c r="N1" s="33" t="s">
        <v>17</v>
      </c>
      <c r="O1" s="33" t="s">
        <v>18</v>
      </c>
      <c r="P1" s="33" t="s">
        <v>19</v>
      </c>
      <c r="Q1" s="33" t="s">
        <v>20</v>
      </c>
      <c r="R1" s="33" t="s">
        <v>21</v>
      </c>
      <c r="S1" s="33" t="s">
        <v>22</v>
      </c>
      <c r="T1" s="33" t="s">
        <v>23</v>
      </c>
      <c r="U1" s="33" t="s">
        <v>24</v>
      </c>
      <c r="V1" s="33" t="s">
        <v>25</v>
      </c>
      <c r="W1" s="33" t="s">
        <v>26</v>
      </c>
      <c r="X1" s="33" t="s">
        <v>27</v>
      </c>
      <c r="Y1" s="33" t="s">
        <v>28</v>
      </c>
      <c r="Z1" s="33" t="s">
        <v>29</v>
      </c>
      <c r="AA1" s="33" t="s">
        <v>30</v>
      </c>
      <c r="AB1" s="33" t="s">
        <v>31</v>
      </c>
    </row>
    <row r="2" spans="1:28" ht="84">
      <c r="A2" s="34" t="str" cm="1">
        <f t="array" ref="A2:AB79">_xlfn.LET(_xlpm.x,_xlfn._xlws.FILTER(FilteredIORecords[],FilteredIORecords[PID]="CA-741762-001",""),IF(_xlpm.x="","",_xlpm.x))</f>
        <v>CA-741762-001</v>
      </c>
      <c r="B2" s="34" t="str">
        <v>631-AY   -0421</v>
      </c>
      <c r="C2" s="34" t="str">
        <v>631-A-0421</v>
      </c>
      <c r="D2" s="34" t="str">
        <v>VALVE</v>
      </c>
      <c r="E2" s="34" t="str">
        <v>SOLENOID VALVE</v>
      </c>
      <c r="F2" s="34" t="str">
        <v>631-G-0119A/B TO CRD SHIP PMP SUC HDR VLV</v>
      </c>
      <c r="G2" s="34" t="str">
        <v/>
      </c>
      <c r="H2" s="34" t="str">
        <v/>
      </c>
      <c r="I2" s="34" t="str">
        <v/>
      </c>
      <c r="J2" s="34" t="str">
        <v/>
      </c>
      <c r="K2" s="34" t="str">
        <v/>
      </c>
      <c r="L2" s="34" t="str">
        <v/>
      </c>
      <c r="M2" s="34" t="str">
        <v/>
      </c>
      <c r="N2" s="34" t="str">
        <v/>
      </c>
      <c r="O2" s="34" t="str">
        <v/>
      </c>
      <c r="P2" s="34" t="str">
        <v/>
      </c>
      <c r="Q2" s="34" t="str">
        <v/>
      </c>
      <c r="R2" s="34" t="str">
        <v/>
      </c>
      <c r="S2" s="34" t="str">
        <v/>
      </c>
      <c r="T2" s="34" t="str">
        <v/>
      </c>
      <c r="U2" s="34" t="str">
        <v>DO</v>
      </c>
      <c r="V2" s="34" t="str">
        <v>631-DCS401</v>
      </c>
      <c r="W2" s="34" t="str">
        <v>24VDC</v>
      </c>
      <c r="X2" s="34" t="str">
        <v>DCS</v>
      </c>
      <c r="Y2" s="34" t="str">
        <v>C</v>
      </c>
      <c r="Z2" s="34" t="str">
        <v>No</v>
      </c>
      <c r="AA2" s="34" t="str">
        <v>AUX</v>
      </c>
      <c r="AB2" s="34" t="str">
        <v/>
      </c>
    </row>
    <row r="3" spans="1:28" ht="96">
      <c r="A3" s="34" t="str">
        <v>CA-741762-001</v>
      </c>
      <c r="B3" s="34" t="str">
        <v>631-XSH  -0421</v>
      </c>
      <c r="C3" s="34" t="str">
        <v>631-A-0421</v>
      </c>
      <c r="D3" s="34" t="str">
        <v>VALVE</v>
      </c>
      <c r="E3" s="34" t="str">
        <v>VALVE POSITION SWITCH OPEN</v>
      </c>
      <c r="F3" s="34" t="str">
        <v>631-G-0119A/B TO CRD SHIP PMP SUC HDR VLV OPN</v>
      </c>
      <c r="G3" s="34" t="str">
        <v/>
      </c>
      <c r="H3" s="34" t="str">
        <v/>
      </c>
      <c r="I3" s="34" t="str">
        <v/>
      </c>
      <c r="J3" s="34" t="str">
        <v/>
      </c>
      <c r="K3" s="34" t="str">
        <v/>
      </c>
      <c r="L3" s="34" t="str">
        <v/>
      </c>
      <c r="M3" s="34" t="str">
        <v/>
      </c>
      <c r="N3" s="34" t="str">
        <v/>
      </c>
      <c r="O3" s="34" t="str">
        <v/>
      </c>
      <c r="P3" s="34" t="str">
        <v/>
      </c>
      <c r="Q3" s="34" t="str">
        <v/>
      </c>
      <c r="R3" s="34" t="str">
        <v/>
      </c>
      <c r="S3" s="34" t="str">
        <v/>
      </c>
      <c r="T3" s="34" t="str">
        <v/>
      </c>
      <c r="U3" s="34" t="str">
        <v>DI</v>
      </c>
      <c r="V3" s="34" t="str">
        <v>631-DCS401</v>
      </c>
      <c r="W3" s="34" t="str">
        <v>FREE</v>
      </c>
      <c r="X3" s="34" t="str">
        <v>DCS</v>
      </c>
      <c r="Y3" s="34" t="str">
        <v>C</v>
      </c>
      <c r="Z3" s="34" t="str">
        <v>No</v>
      </c>
      <c r="AA3" s="34" t="str">
        <v>AUX</v>
      </c>
      <c r="AB3" s="34" t="str">
        <v/>
      </c>
    </row>
    <row r="4" spans="1:28" ht="96">
      <c r="A4" s="34" t="str">
        <v>CA-741762-001</v>
      </c>
      <c r="B4" s="34" t="str">
        <v>631-XSL  -0421</v>
      </c>
      <c r="C4" s="34" t="str">
        <v>631-A-0421</v>
      </c>
      <c r="D4" s="34" t="str">
        <v>VALVE</v>
      </c>
      <c r="E4" s="34" t="str">
        <v>VALVE POSITION SWITCH CLOSED</v>
      </c>
      <c r="F4" s="34" t="str">
        <v>631-G-0119A/B TO CRD SHIP PMP SUC HDR VLV CLS</v>
      </c>
      <c r="G4" s="34" t="str">
        <v/>
      </c>
      <c r="H4" s="34" t="str">
        <v/>
      </c>
      <c r="I4" s="34" t="str">
        <v/>
      </c>
      <c r="J4" s="34" t="str">
        <v/>
      </c>
      <c r="K4" s="34" t="str">
        <v/>
      </c>
      <c r="L4" s="34" t="str">
        <v/>
      </c>
      <c r="M4" s="34" t="str">
        <v/>
      </c>
      <c r="N4" s="34" t="str">
        <v/>
      </c>
      <c r="O4" s="34" t="str">
        <v/>
      </c>
      <c r="P4" s="34" t="str">
        <v/>
      </c>
      <c r="Q4" s="34" t="str">
        <v/>
      </c>
      <c r="R4" s="34" t="str">
        <v/>
      </c>
      <c r="S4" s="34" t="str">
        <v/>
      </c>
      <c r="T4" s="34" t="str">
        <v/>
      </c>
      <c r="U4" s="34" t="str">
        <v>DI</v>
      </c>
      <c r="V4" s="34" t="str">
        <v>631-DCS401</v>
      </c>
      <c r="W4" s="34" t="str">
        <v>FREE</v>
      </c>
      <c r="X4" s="34" t="str">
        <v>DCS</v>
      </c>
      <c r="Y4" s="34" t="str">
        <v>C</v>
      </c>
      <c r="Z4" s="34" t="str">
        <v>No</v>
      </c>
      <c r="AA4" s="34" t="str">
        <v>AUX</v>
      </c>
      <c r="AB4" s="34" t="str">
        <v/>
      </c>
    </row>
    <row r="5" spans="1:28" ht="96">
      <c r="A5" s="34" t="str">
        <v>CA-741762-001</v>
      </c>
      <c r="B5" s="34" t="str">
        <v>631-XIH  -0421</v>
      </c>
      <c r="C5" s="34" t="str">
        <v>631-A-0421</v>
      </c>
      <c r="D5" s="34" t="str">
        <v>DCS</v>
      </c>
      <c r="E5" s="34" t="str">
        <v>STATUS INDICATION OPEN</v>
      </c>
      <c r="F5" s="34" t="str">
        <v>631-G-0119A/B TO CRD SHIP PMP SUC HDR VLV OPN</v>
      </c>
      <c r="G5" s="34" t="str">
        <v/>
      </c>
      <c r="H5" s="34" t="str">
        <v/>
      </c>
      <c r="I5" s="34" t="str">
        <v/>
      </c>
      <c r="J5" s="34" t="str">
        <v/>
      </c>
      <c r="K5" s="34" t="str">
        <v/>
      </c>
      <c r="L5" s="34" t="str">
        <v/>
      </c>
      <c r="M5" s="34" t="str">
        <v/>
      </c>
      <c r="N5" s="34" t="str">
        <v/>
      </c>
      <c r="O5" s="34" t="str">
        <v/>
      </c>
      <c r="P5" s="34" t="str">
        <v/>
      </c>
      <c r="Q5" s="34" t="str">
        <v/>
      </c>
      <c r="R5" s="34" t="str">
        <v/>
      </c>
      <c r="S5" s="34" t="str">
        <v/>
      </c>
      <c r="T5" s="34" t="str">
        <v/>
      </c>
      <c r="U5" s="34" t="str">
        <v>SW</v>
      </c>
      <c r="V5" s="34" t="str">
        <v/>
      </c>
      <c r="W5" s="34" t="str">
        <v>-</v>
      </c>
      <c r="X5" s="34" t="str">
        <v>DCS</v>
      </c>
      <c r="Y5" s="34" t="str">
        <v>-</v>
      </c>
      <c r="Z5" s="34" t="str">
        <v>No</v>
      </c>
      <c r="AA5" s="34" t="str">
        <v>AUX</v>
      </c>
      <c r="AB5" s="34" t="str">
        <v/>
      </c>
    </row>
    <row r="6" spans="1:28" ht="96">
      <c r="A6" s="34" t="str">
        <v>CA-741762-001</v>
      </c>
      <c r="B6" s="34" t="str">
        <v>631-XIL  -0421</v>
      </c>
      <c r="C6" s="34" t="str">
        <v>631-A-0421</v>
      </c>
      <c r="D6" s="34" t="str">
        <v>DCS</v>
      </c>
      <c r="E6" s="34" t="str">
        <v>STATUS INDICATION CLOSED</v>
      </c>
      <c r="F6" s="34" t="str">
        <v>631-G-0119A/B TO CRD SHIP PMP SUC HDR VLV CLS</v>
      </c>
      <c r="G6" s="34" t="str">
        <v/>
      </c>
      <c r="H6" s="34" t="str">
        <v/>
      </c>
      <c r="I6" s="34" t="str">
        <v/>
      </c>
      <c r="J6" s="34" t="str">
        <v/>
      </c>
      <c r="K6" s="34" t="str">
        <v/>
      </c>
      <c r="L6" s="34" t="str">
        <v/>
      </c>
      <c r="M6" s="34" t="str">
        <v/>
      </c>
      <c r="N6" s="34" t="str">
        <v/>
      </c>
      <c r="O6" s="34" t="str">
        <v/>
      </c>
      <c r="P6" s="34" t="str">
        <v/>
      </c>
      <c r="Q6" s="34" t="str">
        <v/>
      </c>
      <c r="R6" s="34" t="str">
        <v/>
      </c>
      <c r="S6" s="34" t="str">
        <v/>
      </c>
      <c r="T6" s="34" t="str">
        <v/>
      </c>
      <c r="U6" s="34" t="str">
        <v>SW</v>
      </c>
      <c r="V6" s="34" t="str">
        <v/>
      </c>
      <c r="W6" s="34" t="str">
        <v>-</v>
      </c>
      <c r="X6" s="34" t="str">
        <v>DCS</v>
      </c>
      <c r="Y6" s="34" t="str">
        <v>-</v>
      </c>
      <c r="Z6" s="34" t="str">
        <v>No</v>
      </c>
      <c r="AA6" s="34" t="str">
        <v>AUX</v>
      </c>
      <c r="AB6" s="34" t="str">
        <v/>
      </c>
    </row>
    <row r="7" spans="1:28" ht="96">
      <c r="A7" s="34" t="str">
        <v>CA-741762-001</v>
      </c>
      <c r="B7" s="34" t="str">
        <v>631-HS   -0421A</v>
      </c>
      <c r="C7" s="34" t="str">
        <v>631-A-0421</v>
      </c>
      <c r="D7" s="34" t="str">
        <v>DCS</v>
      </c>
      <c r="E7" s="34" t="str">
        <v>DCS HAND SWITCH VALVE OPEN</v>
      </c>
      <c r="F7" s="34" t="str">
        <v>631-G-0119A/B TO CRD SHIP PMP SUC HDR OPN</v>
      </c>
      <c r="G7" s="34" t="str">
        <v/>
      </c>
      <c r="H7" s="34" t="str">
        <v/>
      </c>
      <c r="I7" s="34" t="str">
        <v/>
      </c>
      <c r="J7" s="34" t="str">
        <v/>
      </c>
      <c r="K7" s="34" t="str">
        <v/>
      </c>
      <c r="L7" s="34" t="str">
        <v/>
      </c>
      <c r="M7" s="34" t="str">
        <v/>
      </c>
      <c r="N7" s="34" t="str">
        <v/>
      </c>
      <c r="O7" s="34" t="str">
        <v/>
      </c>
      <c r="P7" s="34" t="str">
        <v/>
      </c>
      <c r="Q7" s="34" t="str">
        <v/>
      </c>
      <c r="R7" s="34" t="str">
        <v/>
      </c>
      <c r="S7" s="34" t="str">
        <v/>
      </c>
      <c r="T7" s="34" t="str">
        <v/>
      </c>
      <c r="U7" s="34" t="str">
        <v>SW</v>
      </c>
      <c r="V7" s="34" t="str">
        <v/>
      </c>
      <c r="W7" s="34" t="str">
        <v>-</v>
      </c>
      <c r="X7" s="34" t="str">
        <v>DCS</v>
      </c>
      <c r="Y7" s="34" t="str">
        <v>-</v>
      </c>
      <c r="Z7" s="34" t="str">
        <v>No</v>
      </c>
      <c r="AA7" s="34" t="str">
        <v>AUX</v>
      </c>
      <c r="AB7" s="34" t="str">
        <v/>
      </c>
    </row>
    <row r="8" spans="1:28" ht="84">
      <c r="A8" s="34" t="str">
        <v>CA-741762-001</v>
      </c>
      <c r="B8" s="34" t="str">
        <v>631-HS   -0421B</v>
      </c>
      <c r="C8" s="34" t="str">
        <v>631-A-0421</v>
      </c>
      <c r="D8" s="34" t="str">
        <v>DCS</v>
      </c>
      <c r="E8" s="34" t="str">
        <v>DCS HAND SWITCH VALVE CLOSE</v>
      </c>
      <c r="F8" s="34" t="str">
        <v>631-G-0119A/B TO CRD SHIP PMP SUC HDR CLS</v>
      </c>
      <c r="G8" s="34" t="str">
        <v/>
      </c>
      <c r="H8" s="34" t="str">
        <v/>
      </c>
      <c r="I8" s="34" t="str">
        <v/>
      </c>
      <c r="J8" s="34" t="str">
        <v/>
      </c>
      <c r="K8" s="34" t="str">
        <v/>
      </c>
      <c r="L8" s="34" t="str">
        <v/>
      </c>
      <c r="M8" s="34" t="str">
        <v/>
      </c>
      <c r="N8" s="34" t="str">
        <v/>
      </c>
      <c r="O8" s="34" t="str">
        <v/>
      </c>
      <c r="P8" s="34" t="str">
        <v/>
      </c>
      <c r="Q8" s="34" t="str">
        <v/>
      </c>
      <c r="R8" s="34" t="str">
        <v/>
      </c>
      <c r="S8" s="34" t="str">
        <v/>
      </c>
      <c r="T8" s="34" t="str">
        <v/>
      </c>
      <c r="U8" s="34" t="str">
        <v>SW</v>
      </c>
      <c r="V8" s="34" t="str">
        <v/>
      </c>
      <c r="W8" s="34" t="str">
        <v>-</v>
      </c>
      <c r="X8" s="34" t="str">
        <v>DCS</v>
      </c>
      <c r="Y8" s="34" t="str">
        <v>-</v>
      </c>
      <c r="Z8" s="34" t="str">
        <v>No</v>
      </c>
      <c r="AA8" s="34" t="str">
        <v>AUX</v>
      </c>
      <c r="AB8" s="34" t="str">
        <v/>
      </c>
    </row>
    <row r="9" spans="1:28" ht="84">
      <c r="A9" s="34" t="str">
        <v>CA-741762-001</v>
      </c>
      <c r="B9" s="34" t="str">
        <v>631-XA   -0421</v>
      </c>
      <c r="C9" s="34" t="str">
        <v>631-A-0421</v>
      </c>
      <c r="D9" s="34" t="str">
        <v>DCS</v>
      </c>
      <c r="E9" s="34" t="str">
        <v>FAULT ALARM/TRIP INDICATION</v>
      </c>
      <c r="F9" s="34" t="str">
        <v>631-G-0119A/B TO CRD SHIP PMP SUC HDR FLT</v>
      </c>
      <c r="G9" s="34" t="str">
        <v/>
      </c>
      <c r="H9" s="34" t="str">
        <v/>
      </c>
      <c r="I9" s="34" t="str">
        <v/>
      </c>
      <c r="J9" s="34" t="str">
        <v/>
      </c>
      <c r="K9" s="34" t="str">
        <v/>
      </c>
      <c r="L9" s="34" t="str">
        <v/>
      </c>
      <c r="M9" s="34" t="str">
        <v/>
      </c>
      <c r="N9" s="34" t="str">
        <v/>
      </c>
      <c r="O9" s="34" t="str">
        <v/>
      </c>
      <c r="P9" s="34" t="str">
        <v/>
      </c>
      <c r="Q9" s="34" t="str">
        <v/>
      </c>
      <c r="R9" s="34" t="str">
        <v/>
      </c>
      <c r="S9" s="34" t="str">
        <v/>
      </c>
      <c r="T9" s="34" t="str">
        <v/>
      </c>
      <c r="U9" s="34" t="str">
        <v>SW</v>
      </c>
      <c r="V9" s="34" t="str">
        <v/>
      </c>
      <c r="W9" s="34" t="str">
        <v>-</v>
      </c>
      <c r="X9" s="34" t="str">
        <v>DCS</v>
      </c>
      <c r="Y9" s="34" t="str">
        <v>-</v>
      </c>
      <c r="Z9" s="34" t="str">
        <v>No</v>
      </c>
      <c r="AA9" s="34" t="str">
        <v>AUX</v>
      </c>
      <c r="AB9" s="34" t="str">
        <v/>
      </c>
    </row>
    <row r="10" spans="1:28" ht="60">
      <c r="A10" s="34" t="str">
        <v>CA-741762-001</v>
      </c>
      <c r="B10" s="34" t="str">
        <v>631-FIT  -0421</v>
      </c>
      <c r="C10" s="34" t="str">
        <v>631-F-0421</v>
      </c>
      <c r="D10" s="34" t="str">
        <v>FIELD</v>
      </c>
      <c r="E10" s="34" t="str">
        <v>FLOW TRANSMITTER - VARIABLE AREA</v>
      </c>
      <c r="F10" s="34" t="str">
        <v>631-D-0118 CLS DRN DRM INL FG FLO</v>
      </c>
      <c r="G10" s="34">
        <v>2.8</v>
      </c>
      <c r="H10" s="34">
        <v>28</v>
      </c>
      <c r="I10" s="34" t="str">
        <v>SCFM</v>
      </c>
      <c r="J10" s="34">
        <v>2.8</v>
      </c>
      <c r="K10" s="34">
        <v>28</v>
      </c>
      <c r="L10" s="34" t="str">
        <v>SCFM</v>
      </c>
      <c r="M10" s="34" t="str">
        <v/>
      </c>
      <c r="N10" s="34" t="str">
        <v/>
      </c>
      <c r="O10" s="34" t="str">
        <v/>
      </c>
      <c r="P10" s="34" t="str">
        <v/>
      </c>
      <c r="Q10" s="34" t="str">
        <v/>
      </c>
      <c r="R10" s="34" t="str">
        <v/>
      </c>
      <c r="S10" s="34" t="str">
        <v/>
      </c>
      <c r="T10" s="34" t="str">
        <v/>
      </c>
      <c r="U10" s="34" t="str">
        <v>HART AI</v>
      </c>
      <c r="V10" s="34" t="str">
        <v>631-DCS401</v>
      </c>
      <c r="W10" s="34" t="str">
        <v>4-20mA</v>
      </c>
      <c r="X10" s="34" t="str">
        <v>DCS</v>
      </c>
      <c r="Y10" s="34" t="str">
        <v>H</v>
      </c>
      <c r="Z10" s="34" t="str">
        <v>No</v>
      </c>
      <c r="AA10" s="34" t="str">
        <v>AUX</v>
      </c>
      <c r="AB10" s="34" t="str">
        <v/>
      </c>
    </row>
    <row r="11" spans="1:28" ht="60">
      <c r="A11" s="34" t="str">
        <v>CA-741762-001</v>
      </c>
      <c r="B11" s="34" t="str">
        <v>631-FI   -0421</v>
      </c>
      <c r="C11" s="34" t="str">
        <v>631-F-0421</v>
      </c>
      <c r="D11" s="34" t="str">
        <v>DCS</v>
      </c>
      <c r="E11" s="34" t="str">
        <v>FLOW INDICATION</v>
      </c>
      <c r="F11" s="34" t="str">
        <v>631-D-0118 CLS DRN DRM INL FG FLO</v>
      </c>
      <c r="G11" s="34" t="str">
        <v/>
      </c>
      <c r="H11" s="34" t="str">
        <v/>
      </c>
      <c r="I11" s="34" t="str">
        <v/>
      </c>
      <c r="J11" s="34" t="str">
        <v/>
      </c>
      <c r="K11" s="34" t="str">
        <v/>
      </c>
      <c r="L11" s="34" t="str">
        <v/>
      </c>
      <c r="M11" s="34" t="str">
        <v/>
      </c>
      <c r="N11" s="34" t="str">
        <v/>
      </c>
      <c r="O11" s="34" t="str">
        <v/>
      </c>
      <c r="P11" s="34" t="str">
        <v/>
      </c>
      <c r="Q11" s="34" t="str">
        <v/>
      </c>
      <c r="R11" s="34" t="str">
        <v/>
      </c>
      <c r="S11" s="34" t="str">
        <v/>
      </c>
      <c r="T11" s="34" t="str">
        <v/>
      </c>
      <c r="U11" s="34" t="str">
        <v>SW</v>
      </c>
      <c r="V11" s="34" t="str">
        <v/>
      </c>
      <c r="W11" s="34" t="str">
        <v>-</v>
      </c>
      <c r="X11" s="34" t="str">
        <v>DCS</v>
      </c>
      <c r="Y11" s="34" t="str">
        <v>-</v>
      </c>
      <c r="Z11" s="34" t="str">
        <v>No</v>
      </c>
      <c r="AA11" s="34" t="str">
        <v>AUX</v>
      </c>
      <c r="AB11" s="34" t="str">
        <v/>
      </c>
    </row>
    <row r="12" spans="1:28" ht="72">
      <c r="A12" s="34" t="str">
        <v>CA-741762-001</v>
      </c>
      <c r="B12" s="34" t="str">
        <v>631-FAL  -0421</v>
      </c>
      <c r="C12" s="34" t="str">
        <v>631-F-0421</v>
      </c>
      <c r="D12" s="34" t="str">
        <v>DCS</v>
      </c>
      <c r="E12" s="34" t="str">
        <v>FLOW ALARM LOW</v>
      </c>
      <c r="F12" s="34" t="str">
        <v>631-D-0118 CLS DRN DRM INL FG FLO LO</v>
      </c>
      <c r="G12" s="34" t="str">
        <v/>
      </c>
      <c r="H12" s="34" t="str">
        <v/>
      </c>
      <c r="I12" s="34" t="str">
        <v/>
      </c>
      <c r="J12" s="34" t="str">
        <v/>
      </c>
      <c r="K12" s="34" t="str">
        <v/>
      </c>
      <c r="L12" s="34" t="str">
        <v/>
      </c>
      <c r="M12" s="34" t="str">
        <v/>
      </c>
      <c r="N12" s="34" t="str">
        <v/>
      </c>
      <c r="O12" s="34" t="str">
        <v/>
      </c>
      <c r="P12" s="34" t="str">
        <v>15</v>
      </c>
      <c r="Q12" s="34" t="str">
        <v/>
      </c>
      <c r="R12" s="34" t="str">
        <v/>
      </c>
      <c r="S12" s="34" t="str">
        <v>SCFM</v>
      </c>
      <c r="T12" s="34" t="str">
        <v/>
      </c>
      <c r="U12" s="34" t="str">
        <v>SW</v>
      </c>
      <c r="V12" s="34" t="str">
        <v/>
      </c>
      <c r="W12" s="34" t="str">
        <v>-</v>
      </c>
      <c r="X12" s="34" t="str">
        <v>DCS</v>
      </c>
      <c r="Y12" s="34" t="str">
        <v>-</v>
      </c>
      <c r="Z12" s="34" t="str">
        <v>No</v>
      </c>
      <c r="AA12" s="34" t="str">
        <v>AUX</v>
      </c>
      <c r="AB12" s="34" t="str">
        <v/>
      </c>
    </row>
    <row r="13" spans="1:28" ht="72">
      <c r="A13" s="34" t="str">
        <v>CA-741762-001</v>
      </c>
      <c r="B13" s="34" t="str">
        <v>631-LIT  -0421</v>
      </c>
      <c r="C13" s="34" t="str">
        <v>631-L-0421</v>
      </c>
      <c r="D13" s="34" t="str">
        <v>FIELD</v>
      </c>
      <c r="E13" s="34" t="str">
        <v>LEVEL TRANSMITTER GUIDED WAVE RADAR</v>
      </c>
      <c r="F13" s="34" t="str">
        <v>631-D-0118 CLS DRN DRM LVL</v>
      </c>
      <c r="G13" s="34" t="str">
        <v>6</v>
      </c>
      <c r="H13" s="34" t="str">
        <v>55</v>
      </c>
      <c r="I13" s="34" t="str">
        <v>in</v>
      </c>
      <c r="J13" s="34" t="str">
        <v>0</v>
      </c>
      <c r="K13" s="34" t="str">
        <v>100</v>
      </c>
      <c r="L13" s="34" t="str">
        <v>%</v>
      </c>
      <c r="M13" s="34" t="str">
        <v/>
      </c>
      <c r="N13" s="34" t="str">
        <v/>
      </c>
      <c r="O13" s="34" t="str">
        <v/>
      </c>
      <c r="P13" s="34" t="str">
        <v/>
      </c>
      <c r="Q13" s="34" t="str">
        <v/>
      </c>
      <c r="R13" s="34" t="str">
        <v/>
      </c>
      <c r="S13" s="34" t="str">
        <v/>
      </c>
      <c r="T13" s="34" t="str">
        <v>631-D-0118</v>
      </c>
      <c r="U13" s="34" t="str">
        <v>HART AI</v>
      </c>
      <c r="V13" s="34" t="str">
        <v>631-DCS401</v>
      </c>
      <c r="W13" s="34" t="str">
        <v>4-20mA</v>
      </c>
      <c r="X13" s="34" t="str">
        <v>DCS</v>
      </c>
      <c r="Y13" s="34" t="str">
        <v>H</v>
      </c>
      <c r="Z13" s="34" t="str">
        <v>No</v>
      </c>
      <c r="AA13" s="34" t="str">
        <v>AUX</v>
      </c>
      <c r="AB13" s="34" t="str">
        <v/>
      </c>
    </row>
    <row r="14" spans="1:28" ht="60">
      <c r="A14" s="34" t="str">
        <v>CA-741762-001</v>
      </c>
      <c r="B14" s="34" t="str">
        <v>631-LIC  -0421</v>
      </c>
      <c r="C14" s="34" t="str">
        <v>631-L-0421</v>
      </c>
      <c r="D14" s="34" t="str">
        <v>DCS</v>
      </c>
      <c r="E14" s="34" t="str">
        <v>LEVEL INDICATION CONTROLLER</v>
      </c>
      <c r="F14" s="34" t="str">
        <v>631-D-0118 CLS DRN DRM LVL CTRL</v>
      </c>
      <c r="G14" s="34" t="str">
        <v/>
      </c>
      <c r="H14" s="34" t="str">
        <v/>
      </c>
      <c r="I14" s="34" t="str">
        <v/>
      </c>
      <c r="J14" s="34" t="str">
        <v/>
      </c>
      <c r="K14" s="34" t="str">
        <v/>
      </c>
      <c r="L14" s="34" t="str">
        <v/>
      </c>
      <c r="M14" s="34" t="str">
        <v/>
      </c>
      <c r="N14" s="34" t="str">
        <v/>
      </c>
      <c r="O14" s="34" t="str">
        <v/>
      </c>
      <c r="P14" s="34" t="str">
        <v/>
      </c>
      <c r="Q14" s="34" t="str">
        <v/>
      </c>
      <c r="R14" s="34" t="str">
        <v/>
      </c>
      <c r="S14" s="34" t="str">
        <v/>
      </c>
      <c r="T14" s="34" t="str">
        <v/>
      </c>
      <c r="U14" s="34" t="str">
        <v>SW</v>
      </c>
      <c r="V14" s="34" t="str">
        <v/>
      </c>
      <c r="W14" s="34" t="str">
        <v>-</v>
      </c>
      <c r="X14" s="34" t="str">
        <v>DCS</v>
      </c>
      <c r="Y14" s="34" t="str">
        <v>-</v>
      </c>
      <c r="Z14" s="34" t="str">
        <v>No</v>
      </c>
      <c r="AA14" s="34" t="str">
        <v>AUX</v>
      </c>
      <c r="AB14" s="34" t="str">
        <v/>
      </c>
    </row>
    <row r="15" spans="1:28" ht="60">
      <c r="A15" s="34" t="str">
        <v>CA-741762-001</v>
      </c>
      <c r="B15" s="34" t="str">
        <v>631-LAH  -0421</v>
      </c>
      <c r="C15" s="34" t="str">
        <v>631-L-0421</v>
      </c>
      <c r="D15" s="34" t="str">
        <v>DCS</v>
      </c>
      <c r="E15" s="34" t="str">
        <v>LEVEL ALARM HIGH</v>
      </c>
      <c r="F15" s="34" t="str">
        <v>631-D-0118 CLS DRN DRM LVL HI</v>
      </c>
      <c r="G15" s="34" t="str">
        <v/>
      </c>
      <c r="H15" s="34" t="str">
        <v/>
      </c>
      <c r="I15" s="34" t="str">
        <v/>
      </c>
      <c r="J15" s="34" t="str">
        <v/>
      </c>
      <c r="K15" s="34" t="str">
        <v/>
      </c>
      <c r="L15" s="34" t="str">
        <v/>
      </c>
      <c r="M15" s="34" t="str">
        <v>85.8</v>
      </c>
      <c r="N15" s="34" t="str">
        <v/>
      </c>
      <c r="O15" s="34" t="str">
        <v/>
      </c>
      <c r="P15" s="34" t="str">
        <v/>
      </c>
      <c r="Q15" s="34" t="str">
        <v/>
      </c>
      <c r="R15" s="34" t="str">
        <v/>
      </c>
      <c r="S15" s="34" t="str">
        <v>%</v>
      </c>
      <c r="T15" s="34" t="str">
        <v/>
      </c>
      <c r="U15" s="34" t="str">
        <v>SW</v>
      </c>
      <c r="V15" s="34" t="str">
        <v/>
      </c>
      <c r="W15" s="34" t="str">
        <v>-</v>
      </c>
      <c r="X15" s="34" t="str">
        <v>DCS</v>
      </c>
      <c r="Y15" s="34" t="str">
        <v>-</v>
      </c>
      <c r="Z15" s="34" t="str">
        <v>No</v>
      </c>
      <c r="AA15" s="34" t="str">
        <v>AUX</v>
      </c>
      <c r="AB15" s="34" t="str">
        <v/>
      </c>
    </row>
    <row r="16" spans="1:28" ht="60">
      <c r="A16" s="34" t="str">
        <v>CA-741762-001</v>
      </c>
      <c r="B16" s="34" t="str">
        <v>631-LAL  -0421</v>
      </c>
      <c r="C16" s="34" t="str">
        <v>631-L-0421</v>
      </c>
      <c r="D16" s="34" t="str">
        <v>DCS</v>
      </c>
      <c r="E16" s="34" t="str">
        <v>LEVEL ALARM LOW</v>
      </c>
      <c r="F16" s="34" t="str">
        <v>631-D-0118 CLS DRN DRM LVL LO</v>
      </c>
      <c r="G16" s="34" t="str">
        <v/>
      </c>
      <c r="H16" s="34" t="str">
        <v/>
      </c>
      <c r="I16" s="34" t="str">
        <v/>
      </c>
      <c r="J16" s="34" t="str">
        <v/>
      </c>
      <c r="K16" s="34" t="str">
        <v/>
      </c>
      <c r="L16" s="34" t="str">
        <v/>
      </c>
      <c r="M16" s="34" t="str">
        <v/>
      </c>
      <c r="N16" s="34" t="str">
        <v/>
      </c>
      <c r="O16" s="34" t="str">
        <v/>
      </c>
      <c r="P16" s="34" t="str">
        <v>24.5</v>
      </c>
      <c r="Q16" s="34" t="str">
        <v/>
      </c>
      <c r="R16" s="34" t="str">
        <v/>
      </c>
      <c r="S16" s="34" t="str">
        <v>%</v>
      </c>
      <c r="T16" s="34" t="str">
        <v/>
      </c>
      <c r="U16" s="34" t="str">
        <v>SW</v>
      </c>
      <c r="V16" s="34" t="str">
        <v/>
      </c>
      <c r="W16" s="34" t="str">
        <v>-</v>
      </c>
      <c r="X16" s="34" t="str">
        <v>DCS</v>
      </c>
      <c r="Y16" s="34" t="str">
        <v>-</v>
      </c>
      <c r="Z16" s="34" t="str">
        <v>No</v>
      </c>
      <c r="AA16" s="34" t="str">
        <v>AUX</v>
      </c>
      <c r="AB16" s="34" t="str">
        <v/>
      </c>
    </row>
    <row r="17" spans="1:28" ht="60">
      <c r="A17" s="34" t="str">
        <v>CA-741762-001</v>
      </c>
      <c r="B17" s="34" t="str">
        <v>631-LY   -0421</v>
      </c>
      <c r="C17" s="34" t="str">
        <v>631-L-0421</v>
      </c>
      <c r="D17" s="34" t="str">
        <v>DCS</v>
      </c>
      <c r="E17" s="34" t="str">
        <v>FUNCTION BLOCK</v>
      </c>
      <c r="F17" s="34" t="str">
        <v>631-D-0118 CLS DRN DRM LVL FNC BLK</v>
      </c>
      <c r="G17" s="34" t="str">
        <v/>
      </c>
      <c r="H17" s="34" t="str">
        <v/>
      </c>
      <c r="I17" s="34" t="str">
        <v/>
      </c>
      <c r="J17" s="34" t="str">
        <v/>
      </c>
      <c r="K17" s="34" t="str">
        <v/>
      </c>
      <c r="L17" s="34" t="str">
        <v/>
      </c>
      <c r="M17" s="34" t="str">
        <v/>
      </c>
      <c r="N17" s="34" t="str">
        <v/>
      </c>
      <c r="O17" s="34" t="str">
        <v/>
      </c>
      <c r="P17" s="34" t="str">
        <v/>
      </c>
      <c r="Q17" s="34" t="str">
        <v/>
      </c>
      <c r="R17" s="34" t="str">
        <v/>
      </c>
      <c r="S17" s="34" t="str">
        <v/>
      </c>
      <c r="T17" s="34" t="str">
        <v/>
      </c>
      <c r="U17" s="34" t="str">
        <v>SW</v>
      </c>
      <c r="V17" s="34" t="str">
        <v/>
      </c>
      <c r="W17" s="34" t="str">
        <v>-</v>
      </c>
      <c r="X17" s="34" t="str">
        <v>DCS</v>
      </c>
      <c r="Y17" s="34" t="str">
        <v>-</v>
      </c>
      <c r="Z17" s="34" t="str">
        <v>No</v>
      </c>
      <c r="AA17" s="34" t="str">
        <v>AUX</v>
      </c>
      <c r="AB17" s="34" t="str">
        <v/>
      </c>
    </row>
    <row r="18" spans="1:28" ht="84">
      <c r="A18" s="34" t="str">
        <v>CA-741762-001</v>
      </c>
      <c r="B18" s="34" t="str">
        <v>631-HS   -0421</v>
      </c>
      <c r="C18" s="34" t="str">
        <v>631-L-0421</v>
      </c>
      <c r="D18" s="34" t="str">
        <v>DCS</v>
      </c>
      <c r="E18" s="34" t="str">
        <v>DCS HAND SWITCH</v>
      </c>
      <c r="F18" s="34" t="str">
        <v>631-D-0119A/B CLS DRN PMP LEAD LAG SEL</v>
      </c>
      <c r="G18" s="34" t="str">
        <v/>
      </c>
      <c r="H18" s="34" t="str">
        <v/>
      </c>
      <c r="I18" s="34" t="str">
        <v/>
      </c>
      <c r="J18" s="34" t="str">
        <v/>
      </c>
      <c r="K18" s="34" t="str">
        <v/>
      </c>
      <c r="L18" s="34" t="str">
        <v/>
      </c>
      <c r="M18" s="34" t="str">
        <v/>
      </c>
      <c r="N18" s="34" t="str">
        <v/>
      </c>
      <c r="O18" s="34" t="str">
        <v/>
      </c>
      <c r="P18" s="34" t="str">
        <v/>
      </c>
      <c r="Q18" s="34" t="str">
        <v/>
      </c>
      <c r="R18" s="34" t="str">
        <v/>
      </c>
      <c r="S18" s="34" t="str">
        <v/>
      </c>
      <c r="T18" s="34" t="str">
        <v/>
      </c>
      <c r="U18" s="34" t="str">
        <v>SW</v>
      </c>
      <c r="V18" s="34" t="str">
        <v/>
      </c>
      <c r="W18" s="34" t="str">
        <v>-</v>
      </c>
      <c r="X18" s="34" t="str">
        <v>DCS</v>
      </c>
      <c r="Y18" s="34" t="str">
        <v>-</v>
      </c>
      <c r="Z18" s="34" t="str">
        <v>No</v>
      </c>
      <c r="AA18" s="34" t="str">
        <v>AUX</v>
      </c>
      <c r="AB18" s="34" t="str">
        <v/>
      </c>
    </row>
    <row r="19" spans="1:28" ht="60">
      <c r="A19" s="34" t="str">
        <v>CA-741762-001</v>
      </c>
      <c r="B19" s="34" t="str">
        <v>631-HS   -0423D</v>
      </c>
      <c r="C19" s="34" t="str">
        <v>631-M-0423</v>
      </c>
      <c r="D19" s="34" t="str">
        <v>MCC</v>
      </c>
      <c r="E19" s="34" t="str">
        <v>DCS HAND SWITCH START</v>
      </c>
      <c r="F19" s="34" t="str">
        <v>631-G-0119A CLS DRN PMP START</v>
      </c>
      <c r="G19" s="34" t="str">
        <v/>
      </c>
      <c r="H19" s="34" t="str">
        <v/>
      </c>
      <c r="I19" s="34" t="str">
        <v/>
      </c>
      <c r="J19" s="34" t="str">
        <v/>
      </c>
      <c r="K19" s="34" t="str">
        <v/>
      </c>
      <c r="L19" s="34" t="str">
        <v/>
      </c>
      <c r="M19" s="34" t="str">
        <v/>
      </c>
      <c r="N19" s="34" t="str">
        <v/>
      </c>
      <c r="O19" s="34" t="str">
        <v/>
      </c>
      <c r="P19" s="34" t="str">
        <v/>
      </c>
      <c r="Q19" s="34" t="str">
        <v/>
      </c>
      <c r="R19" s="34" t="str">
        <v/>
      </c>
      <c r="S19" s="34" t="str">
        <v/>
      </c>
      <c r="T19" s="34" t="str">
        <v/>
      </c>
      <c r="U19" s="34" t="str">
        <v>DO</v>
      </c>
      <c r="V19" s="34" t="str">
        <v>631-DCS401</v>
      </c>
      <c r="W19" s="34" t="str">
        <v>24VDC</v>
      </c>
      <c r="X19" s="34" t="str">
        <v>DCS</v>
      </c>
      <c r="Y19" s="34" t="str">
        <v>C</v>
      </c>
      <c r="Z19" s="34" t="str">
        <v>No</v>
      </c>
      <c r="AA19" s="34" t="str">
        <v>AUX</v>
      </c>
      <c r="AB19" s="34" t="str">
        <v/>
      </c>
    </row>
    <row r="20" spans="1:28" ht="48">
      <c r="A20" s="34" t="str">
        <v>CA-741762-001</v>
      </c>
      <c r="B20" s="34" t="str">
        <v>631-HS   -0423E</v>
      </c>
      <c r="C20" s="34" t="str">
        <v>631-M-0423</v>
      </c>
      <c r="D20" s="34" t="str">
        <v>MCC</v>
      </c>
      <c r="E20" s="34" t="str">
        <v>DCS HAND SWITCH STOP</v>
      </c>
      <c r="F20" s="34" t="str">
        <v>631-G-0119A CLS DRN PMP STP</v>
      </c>
      <c r="G20" s="34" t="str">
        <v/>
      </c>
      <c r="H20" s="34" t="str">
        <v/>
      </c>
      <c r="I20" s="34" t="str">
        <v/>
      </c>
      <c r="J20" s="34" t="str">
        <v/>
      </c>
      <c r="K20" s="34" t="str">
        <v/>
      </c>
      <c r="L20" s="34" t="str">
        <v/>
      </c>
      <c r="M20" s="34" t="str">
        <v/>
      </c>
      <c r="N20" s="34" t="str">
        <v/>
      </c>
      <c r="O20" s="34" t="str">
        <v/>
      </c>
      <c r="P20" s="34" t="str">
        <v/>
      </c>
      <c r="Q20" s="34" t="str">
        <v/>
      </c>
      <c r="R20" s="34" t="str">
        <v/>
      </c>
      <c r="S20" s="34" t="str">
        <v/>
      </c>
      <c r="T20" s="34" t="str">
        <v/>
      </c>
      <c r="U20" s="34" t="str">
        <v>DO</v>
      </c>
      <c r="V20" s="34" t="str">
        <v>631-DCS401</v>
      </c>
      <c r="W20" s="34" t="str">
        <v>24VDC</v>
      </c>
      <c r="X20" s="34" t="str">
        <v>DCS</v>
      </c>
      <c r="Y20" s="34" t="str">
        <v>C</v>
      </c>
      <c r="Z20" s="34" t="str">
        <v>No</v>
      </c>
      <c r="AA20" s="34" t="str">
        <v>AUX</v>
      </c>
      <c r="AB20" s="34" t="str">
        <v/>
      </c>
    </row>
    <row r="21" spans="1:28" ht="60">
      <c r="A21" s="34" t="str">
        <v>CA-741762-001</v>
      </c>
      <c r="B21" s="34" t="str">
        <v>631-XA   -0423A</v>
      </c>
      <c r="C21" s="34" t="str">
        <v>631-M-0423</v>
      </c>
      <c r="D21" s="34" t="str">
        <v>MCC</v>
      </c>
      <c r="E21" s="34" t="str">
        <v>FAULT ALARM/TRIP INDICATION</v>
      </c>
      <c r="F21" s="34" t="str">
        <v>631-G-0119A CLS DRN PMP FLT</v>
      </c>
      <c r="G21" s="34" t="str">
        <v/>
      </c>
      <c r="H21" s="34" t="str">
        <v/>
      </c>
      <c r="I21" s="34" t="str">
        <v/>
      </c>
      <c r="J21" s="34" t="str">
        <v/>
      </c>
      <c r="K21" s="34" t="str">
        <v/>
      </c>
      <c r="L21" s="34" t="str">
        <v/>
      </c>
      <c r="M21" s="34" t="str">
        <v/>
      </c>
      <c r="N21" s="34" t="str">
        <v/>
      </c>
      <c r="O21" s="34" t="str">
        <v/>
      </c>
      <c r="P21" s="34" t="str">
        <v/>
      </c>
      <c r="Q21" s="34" t="str">
        <v/>
      </c>
      <c r="R21" s="34" t="str">
        <v/>
      </c>
      <c r="S21" s="34" t="str">
        <v/>
      </c>
      <c r="T21" s="34" t="str">
        <v/>
      </c>
      <c r="U21" s="34" t="str">
        <v>SID</v>
      </c>
      <c r="V21" s="34" t="str">
        <v/>
      </c>
      <c r="W21" s="34" t="str">
        <v>SERIAL</v>
      </c>
      <c r="X21" s="34" t="str">
        <v>DCS</v>
      </c>
      <c r="Y21" s="34" t="str">
        <v>M</v>
      </c>
      <c r="Z21" s="34" t="str">
        <v>No</v>
      </c>
      <c r="AA21" s="34" t="str">
        <v>AUX</v>
      </c>
      <c r="AB21" s="34" t="str">
        <v/>
      </c>
    </row>
    <row r="22" spans="1:28" ht="60">
      <c r="A22" s="34" t="str">
        <v>CA-741762-001</v>
      </c>
      <c r="B22" s="34" t="str">
        <v>631-XA   -0423B</v>
      </c>
      <c r="C22" s="34" t="str">
        <v>631-M-0423</v>
      </c>
      <c r="D22" s="34" t="str">
        <v>MCC</v>
      </c>
      <c r="E22" s="34" t="str">
        <v>FAULT ALARM/TRIP INDICATION</v>
      </c>
      <c r="F22" s="34" t="str">
        <v>631-G-0119A CLS DRN PMP TRP</v>
      </c>
      <c r="G22" s="34" t="str">
        <v/>
      </c>
      <c r="H22" s="34" t="str">
        <v/>
      </c>
      <c r="I22" s="34" t="str">
        <v/>
      </c>
      <c r="J22" s="34" t="str">
        <v/>
      </c>
      <c r="K22" s="34" t="str">
        <v/>
      </c>
      <c r="L22" s="34" t="str">
        <v/>
      </c>
      <c r="M22" s="34" t="str">
        <v/>
      </c>
      <c r="N22" s="34" t="str">
        <v/>
      </c>
      <c r="O22" s="34" t="str">
        <v/>
      </c>
      <c r="P22" s="34" t="str">
        <v/>
      </c>
      <c r="Q22" s="34" t="str">
        <v/>
      </c>
      <c r="R22" s="34" t="str">
        <v/>
      </c>
      <c r="S22" s="34" t="str">
        <v/>
      </c>
      <c r="T22" s="34" t="str">
        <v/>
      </c>
      <c r="U22" s="34" t="str">
        <v>SID</v>
      </c>
      <c r="V22" s="34" t="str">
        <v/>
      </c>
      <c r="W22" s="34" t="str">
        <v>SERIAL</v>
      </c>
      <c r="X22" s="34" t="str">
        <v>DCS</v>
      </c>
      <c r="Y22" s="34" t="str">
        <v>M</v>
      </c>
      <c r="Z22" s="34" t="str">
        <v>No</v>
      </c>
      <c r="AA22" s="34" t="str">
        <v>AUX</v>
      </c>
      <c r="AB22" s="34" t="str">
        <v/>
      </c>
    </row>
    <row r="23" spans="1:28" ht="84">
      <c r="A23" s="34" t="str">
        <v>CA-741762-001</v>
      </c>
      <c r="B23" s="34" t="str">
        <v>631-XI   -0423</v>
      </c>
      <c r="C23" s="34" t="str">
        <v>631-M-0423</v>
      </c>
      <c r="D23" s="34" t="str">
        <v>MCC</v>
      </c>
      <c r="E23" s="34" t="str">
        <v>DCS INDICATION AUTO POSITION</v>
      </c>
      <c r="F23" s="34" t="str">
        <v>631-G-0119A CLS DRN PMP AUTO POSITION</v>
      </c>
      <c r="G23" s="34" t="str">
        <v/>
      </c>
      <c r="H23" s="34" t="str">
        <v/>
      </c>
      <c r="I23" s="34" t="str">
        <v/>
      </c>
      <c r="J23" s="34" t="str">
        <v/>
      </c>
      <c r="K23" s="34" t="str">
        <v/>
      </c>
      <c r="L23" s="34" t="str">
        <v/>
      </c>
      <c r="M23" s="34" t="str">
        <v/>
      </c>
      <c r="N23" s="34" t="str">
        <v/>
      </c>
      <c r="O23" s="34" t="str">
        <v/>
      </c>
      <c r="P23" s="34" t="str">
        <v/>
      </c>
      <c r="Q23" s="34" t="str">
        <v/>
      </c>
      <c r="R23" s="34" t="str">
        <v/>
      </c>
      <c r="S23" s="34" t="str">
        <v/>
      </c>
      <c r="T23" s="34" t="str">
        <v/>
      </c>
      <c r="U23" s="34" t="str">
        <v>SID</v>
      </c>
      <c r="V23" s="34" t="str">
        <v/>
      </c>
      <c r="W23" s="34" t="str">
        <v>SERIAL</v>
      </c>
      <c r="X23" s="34" t="str">
        <v>DCS</v>
      </c>
      <c r="Y23" s="34" t="str">
        <v>M</v>
      </c>
      <c r="Z23" s="34" t="str">
        <v>No</v>
      </c>
      <c r="AA23" s="34" t="str">
        <v>AUX</v>
      </c>
      <c r="AB23" s="34" t="str">
        <v/>
      </c>
    </row>
    <row r="24" spans="1:28" ht="60">
      <c r="A24" s="34" t="str">
        <v>CA-741762-001</v>
      </c>
      <c r="B24" s="34" t="str">
        <v>631-HS   -0424D</v>
      </c>
      <c r="C24" s="34" t="str">
        <v>631-M-0424</v>
      </c>
      <c r="D24" s="34" t="str">
        <v>MCC</v>
      </c>
      <c r="E24" s="34" t="str">
        <v>DCS HAND SWITCH START</v>
      </c>
      <c r="F24" s="34" t="str">
        <v>631-G-0119B CLS DRN PMP START</v>
      </c>
      <c r="G24" s="34" t="str">
        <v/>
      </c>
      <c r="H24" s="34" t="str">
        <v/>
      </c>
      <c r="I24" s="34" t="str">
        <v/>
      </c>
      <c r="J24" s="34" t="str">
        <v/>
      </c>
      <c r="K24" s="34" t="str">
        <v/>
      </c>
      <c r="L24" s="34" t="str">
        <v/>
      </c>
      <c r="M24" s="34" t="str">
        <v/>
      </c>
      <c r="N24" s="34" t="str">
        <v/>
      </c>
      <c r="O24" s="34" t="str">
        <v/>
      </c>
      <c r="P24" s="34" t="str">
        <v/>
      </c>
      <c r="Q24" s="34" t="str">
        <v/>
      </c>
      <c r="R24" s="34" t="str">
        <v/>
      </c>
      <c r="S24" s="34" t="str">
        <v/>
      </c>
      <c r="T24" s="34" t="str">
        <v/>
      </c>
      <c r="U24" s="34" t="str">
        <v>DO</v>
      </c>
      <c r="V24" s="34" t="str">
        <v>631-DCS401</v>
      </c>
      <c r="W24" s="34" t="str">
        <v>24VDC</v>
      </c>
      <c r="X24" s="34" t="str">
        <v>DCS</v>
      </c>
      <c r="Y24" s="34" t="str">
        <v>C</v>
      </c>
      <c r="Z24" s="34" t="str">
        <v>No</v>
      </c>
      <c r="AA24" s="34" t="str">
        <v>AUX</v>
      </c>
      <c r="AB24" s="34" t="str">
        <v/>
      </c>
    </row>
    <row r="25" spans="1:28" ht="48">
      <c r="A25" s="34" t="str">
        <v>CA-741762-001</v>
      </c>
      <c r="B25" s="34" t="str">
        <v>631-HS   -0424E</v>
      </c>
      <c r="C25" s="34" t="str">
        <v>631-M-0424</v>
      </c>
      <c r="D25" s="34" t="str">
        <v>MCC</v>
      </c>
      <c r="E25" s="34" t="str">
        <v>DCS HAND SWITCH STOP</v>
      </c>
      <c r="F25" s="34" t="str">
        <v>631-G-0119B CLS DRN PMP STP</v>
      </c>
      <c r="G25" s="34" t="str">
        <v/>
      </c>
      <c r="H25" s="34" t="str">
        <v/>
      </c>
      <c r="I25" s="34" t="str">
        <v/>
      </c>
      <c r="J25" s="34" t="str">
        <v/>
      </c>
      <c r="K25" s="34" t="str">
        <v/>
      </c>
      <c r="L25" s="34" t="str">
        <v/>
      </c>
      <c r="M25" s="34" t="str">
        <v/>
      </c>
      <c r="N25" s="34" t="str">
        <v/>
      </c>
      <c r="O25" s="34" t="str">
        <v/>
      </c>
      <c r="P25" s="34" t="str">
        <v/>
      </c>
      <c r="Q25" s="34" t="str">
        <v/>
      </c>
      <c r="R25" s="34" t="str">
        <v/>
      </c>
      <c r="S25" s="34" t="str">
        <v/>
      </c>
      <c r="T25" s="34" t="str">
        <v/>
      </c>
      <c r="U25" s="34" t="str">
        <v>DO</v>
      </c>
      <c r="V25" s="34" t="str">
        <v>631-DCS401</v>
      </c>
      <c r="W25" s="34" t="str">
        <v>24VDC</v>
      </c>
      <c r="X25" s="34" t="str">
        <v>DCS</v>
      </c>
      <c r="Y25" s="34" t="str">
        <v>C</v>
      </c>
      <c r="Z25" s="34" t="str">
        <v>No</v>
      </c>
      <c r="AA25" s="34" t="str">
        <v>AUX</v>
      </c>
      <c r="AB25" s="34" t="str">
        <v/>
      </c>
    </row>
    <row r="26" spans="1:28" ht="60">
      <c r="A26" s="34" t="str">
        <v>CA-741762-001</v>
      </c>
      <c r="B26" s="34" t="str">
        <v>631-XA   -0424A</v>
      </c>
      <c r="C26" s="34" t="str">
        <v>631-M-0424</v>
      </c>
      <c r="D26" s="34" t="str">
        <v>MCC</v>
      </c>
      <c r="E26" s="34" t="str">
        <v>FAULT ALARM/TRIP INDICATION</v>
      </c>
      <c r="F26" s="34" t="str">
        <v>631-G-0119B CLS DRN PMP FLT</v>
      </c>
      <c r="G26" s="34" t="str">
        <v/>
      </c>
      <c r="H26" s="34" t="str">
        <v/>
      </c>
      <c r="I26" s="34" t="str">
        <v/>
      </c>
      <c r="J26" s="34" t="str">
        <v/>
      </c>
      <c r="K26" s="34" t="str">
        <v/>
      </c>
      <c r="L26" s="34" t="str">
        <v/>
      </c>
      <c r="M26" s="34" t="str">
        <v/>
      </c>
      <c r="N26" s="34" t="str">
        <v/>
      </c>
      <c r="O26" s="34" t="str">
        <v/>
      </c>
      <c r="P26" s="34" t="str">
        <v/>
      </c>
      <c r="Q26" s="34" t="str">
        <v/>
      </c>
      <c r="R26" s="34" t="str">
        <v/>
      </c>
      <c r="S26" s="34" t="str">
        <v/>
      </c>
      <c r="T26" s="34" t="str">
        <v/>
      </c>
      <c r="U26" s="34" t="str">
        <v>SID</v>
      </c>
      <c r="V26" s="34" t="str">
        <v/>
      </c>
      <c r="W26" s="34" t="str">
        <v>SERIAL</v>
      </c>
      <c r="X26" s="34" t="str">
        <v>DCS</v>
      </c>
      <c r="Y26" s="34" t="str">
        <v>M</v>
      </c>
      <c r="Z26" s="34" t="str">
        <v>No</v>
      </c>
      <c r="AA26" s="34" t="str">
        <v>AUX</v>
      </c>
      <c r="AB26" s="34" t="str">
        <v/>
      </c>
    </row>
    <row r="27" spans="1:28" ht="60">
      <c r="A27" s="34" t="str">
        <v>CA-741762-001</v>
      </c>
      <c r="B27" s="34" t="str">
        <v>631-XA   -0424B</v>
      </c>
      <c r="C27" s="34" t="str">
        <v>631-M-0424</v>
      </c>
      <c r="D27" s="34" t="str">
        <v>MCC</v>
      </c>
      <c r="E27" s="34" t="str">
        <v>FAULT ALARM/TRIP INDICATION</v>
      </c>
      <c r="F27" s="34" t="str">
        <v>631-G-0119B CLS DRN PMP TRP</v>
      </c>
      <c r="G27" s="34" t="str">
        <v/>
      </c>
      <c r="H27" s="34" t="str">
        <v/>
      </c>
      <c r="I27" s="34" t="str">
        <v/>
      </c>
      <c r="J27" s="34" t="str">
        <v/>
      </c>
      <c r="K27" s="34" t="str">
        <v/>
      </c>
      <c r="L27" s="34" t="str">
        <v/>
      </c>
      <c r="M27" s="34" t="str">
        <v/>
      </c>
      <c r="N27" s="34" t="str">
        <v/>
      </c>
      <c r="O27" s="34" t="str">
        <v/>
      </c>
      <c r="P27" s="34" t="str">
        <v/>
      </c>
      <c r="Q27" s="34" t="str">
        <v/>
      </c>
      <c r="R27" s="34" t="str">
        <v/>
      </c>
      <c r="S27" s="34" t="str">
        <v/>
      </c>
      <c r="T27" s="34" t="str">
        <v/>
      </c>
      <c r="U27" s="34" t="str">
        <v>SID</v>
      </c>
      <c r="V27" s="34" t="str">
        <v/>
      </c>
      <c r="W27" s="34" t="str">
        <v>SERIAL</v>
      </c>
      <c r="X27" s="34" t="str">
        <v>DCS</v>
      </c>
      <c r="Y27" s="34" t="str">
        <v>M</v>
      </c>
      <c r="Z27" s="34" t="str">
        <v>No</v>
      </c>
      <c r="AA27" s="34" t="str">
        <v>AUX</v>
      </c>
      <c r="AB27" s="34" t="str">
        <v/>
      </c>
    </row>
    <row r="28" spans="1:28" ht="84">
      <c r="A28" s="34" t="str">
        <v>CA-741762-001</v>
      </c>
      <c r="B28" s="34" t="str">
        <v>631-XI   -0424</v>
      </c>
      <c r="C28" s="34" t="str">
        <v>631-M-0424</v>
      </c>
      <c r="D28" s="34" t="str">
        <v>MCC</v>
      </c>
      <c r="E28" s="34" t="str">
        <v>DCS INDICATION AUTO POSITION</v>
      </c>
      <c r="F28" s="34" t="str">
        <v>631-G-0119B CLS DRN PMP AUTO POSITION</v>
      </c>
      <c r="G28" s="34" t="str">
        <v/>
      </c>
      <c r="H28" s="34" t="str">
        <v/>
      </c>
      <c r="I28" s="34" t="str">
        <v/>
      </c>
      <c r="J28" s="34" t="str">
        <v/>
      </c>
      <c r="K28" s="34" t="str">
        <v/>
      </c>
      <c r="L28" s="34" t="str">
        <v/>
      </c>
      <c r="M28" s="34" t="str">
        <v/>
      </c>
      <c r="N28" s="34" t="str">
        <v/>
      </c>
      <c r="O28" s="34" t="str">
        <v/>
      </c>
      <c r="P28" s="34" t="str">
        <v/>
      </c>
      <c r="Q28" s="34" t="str">
        <v/>
      </c>
      <c r="R28" s="34" t="str">
        <v/>
      </c>
      <c r="S28" s="34" t="str">
        <v/>
      </c>
      <c r="T28" s="34" t="str">
        <v/>
      </c>
      <c r="U28" s="34" t="str">
        <v>SID</v>
      </c>
      <c r="V28" s="34" t="str">
        <v/>
      </c>
      <c r="W28" s="34" t="str">
        <v>SERIAL</v>
      </c>
      <c r="X28" s="34" t="str">
        <v>DCS</v>
      </c>
      <c r="Y28" s="34" t="str">
        <v>M</v>
      </c>
      <c r="Z28" s="34" t="str">
        <v>No</v>
      </c>
      <c r="AA28" s="34" t="str">
        <v>AUX</v>
      </c>
      <c r="AB28" s="34" t="str">
        <v/>
      </c>
    </row>
    <row r="29" spans="1:28" ht="72">
      <c r="A29" s="34" t="str">
        <v>CA-741762-001</v>
      </c>
      <c r="B29" s="34" t="str">
        <v>631-PIT  -0424</v>
      </c>
      <c r="C29" s="34" t="str">
        <v>631-P-0424</v>
      </c>
      <c r="D29" s="34" t="str">
        <v>FIELD</v>
      </c>
      <c r="E29" s="34" t="str">
        <v>PRESSURE INDICATING TRANSMITTER</v>
      </c>
      <c r="F29" s="34" t="str">
        <v>631-G-0119A CLS DRN PMP DISCH PR</v>
      </c>
      <c r="G29" s="34" t="str">
        <v>0</v>
      </c>
      <c r="H29" s="34" t="str">
        <v>500</v>
      </c>
      <c r="I29" s="34" t="str">
        <v>psiG</v>
      </c>
      <c r="J29" s="34" t="str">
        <v>0</v>
      </c>
      <c r="K29" s="34" t="str">
        <v>500</v>
      </c>
      <c r="L29" s="34" t="str">
        <v>psiG</v>
      </c>
      <c r="M29" s="34" t="str">
        <v/>
      </c>
      <c r="N29" s="34" t="str">
        <v/>
      </c>
      <c r="O29" s="34" t="str">
        <v/>
      </c>
      <c r="P29" s="34" t="str">
        <v/>
      </c>
      <c r="Q29" s="34" t="str">
        <v/>
      </c>
      <c r="R29" s="34" t="str">
        <v/>
      </c>
      <c r="S29" s="34" t="str">
        <v/>
      </c>
      <c r="T29" s="34" t="str">
        <v/>
      </c>
      <c r="U29" s="34" t="str">
        <v>HART AI</v>
      </c>
      <c r="V29" s="34" t="str">
        <v>631-DCS401</v>
      </c>
      <c r="W29" s="34" t="str">
        <v>4-20mA</v>
      </c>
      <c r="X29" s="34" t="str">
        <v>DCS</v>
      </c>
      <c r="Y29" s="34" t="str">
        <v>H</v>
      </c>
      <c r="Z29" s="34" t="str">
        <v>No</v>
      </c>
      <c r="AA29" s="34" t="str">
        <v>AUX</v>
      </c>
      <c r="AB29" s="34" t="str">
        <v/>
      </c>
    </row>
    <row r="30" spans="1:28" ht="72">
      <c r="A30" s="34" t="str">
        <v>CA-741762-001</v>
      </c>
      <c r="B30" s="34" t="str">
        <v>631-PI   -0424</v>
      </c>
      <c r="C30" s="34" t="str">
        <v>631-P-0424</v>
      </c>
      <c r="D30" s="34" t="str">
        <v>DCS</v>
      </c>
      <c r="E30" s="34" t="str">
        <v>DCS PRESSURE INDICATION</v>
      </c>
      <c r="F30" s="34" t="str">
        <v>631-G-0119A CLS DRN PMP DISCH PR</v>
      </c>
      <c r="G30" s="34" t="str">
        <v/>
      </c>
      <c r="H30" s="34" t="str">
        <v/>
      </c>
      <c r="I30" s="34" t="str">
        <v/>
      </c>
      <c r="J30" s="34" t="str">
        <v/>
      </c>
      <c r="K30" s="34" t="str">
        <v/>
      </c>
      <c r="L30" s="34" t="str">
        <v/>
      </c>
      <c r="M30" s="34" t="str">
        <v/>
      </c>
      <c r="N30" s="34" t="str">
        <v/>
      </c>
      <c r="O30" s="34" t="str">
        <v/>
      </c>
      <c r="P30" s="34" t="str">
        <v/>
      </c>
      <c r="Q30" s="34" t="str">
        <v/>
      </c>
      <c r="R30" s="34" t="str">
        <v/>
      </c>
      <c r="S30" s="34" t="str">
        <v/>
      </c>
      <c r="T30" s="34" t="str">
        <v/>
      </c>
      <c r="U30" s="34" t="str">
        <v>SW</v>
      </c>
      <c r="V30" s="34" t="str">
        <v/>
      </c>
      <c r="W30" s="34" t="str">
        <v>-</v>
      </c>
      <c r="X30" s="34" t="str">
        <v>DCS</v>
      </c>
      <c r="Y30" s="34" t="str">
        <v>-</v>
      </c>
      <c r="Z30" s="34" t="str">
        <v>No</v>
      </c>
      <c r="AA30" s="34" t="str">
        <v>AUX</v>
      </c>
      <c r="AB30" s="34" t="str">
        <v/>
      </c>
    </row>
    <row r="31" spans="1:28" ht="72">
      <c r="A31" s="34" t="str">
        <v>CA-741762-001</v>
      </c>
      <c r="B31" s="34" t="str">
        <v>631-PAH  -0424</v>
      </c>
      <c r="C31" s="34" t="str">
        <v>631-P-0424</v>
      </c>
      <c r="D31" s="34" t="str">
        <v>DCS</v>
      </c>
      <c r="E31" s="34" t="str">
        <v>PRESSURE ALARM HIGH</v>
      </c>
      <c r="F31" s="34" t="str">
        <v>631-G-0119A CLS DRN PMP DISCH PR HI</v>
      </c>
      <c r="G31" s="34" t="str">
        <v/>
      </c>
      <c r="H31" s="34" t="str">
        <v/>
      </c>
      <c r="I31" s="34" t="str">
        <v/>
      </c>
      <c r="J31" s="34" t="str">
        <v/>
      </c>
      <c r="K31" s="34" t="str">
        <v/>
      </c>
      <c r="L31" s="34" t="str">
        <v/>
      </c>
      <c r="M31" s="34" t="str">
        <v>305</v>
      </c>
      <c r="N31" s="34" t="str">
        <v/>
      </c>
      <c r="O31" s="34" t="str">
        <v/>
      </c>
      <c r="P31" s="34" t="str">
        <v/>
      </c>
      <c r="Q31" s="34" t="str">
        <v/>
      </c>
      <c r="R31" s="34" t="str">
        <v/>
      </c>
      <c r="S31" s="34" t="str">
        <v>psiG</v>
      </c>
      <c r="T31" s="34" t="str">
        <v/>
      </c>
      <c r="U31" s="34" t="str">
        <v>SW</v>
      </c>
      <c r="V31" s="34" t="str">
        <v/>
      </c>
      <c r="W31" s="34" t="str">
        <v>-</v>
      </c>
      <c r="X31" s="34" t="str">
        <v>DCS</v>
      </c>
      <c r="Y31" s="34" t="str">
        <v>-</v>
      </c>
      <c r="Z31" s="34" t="str">
        <v>No</v>
      </c>
      <c r="AA31" s="34" t="str">
        <v>AUX</v>
      </c>
      <c r="AB31" s="34" t="str">
        <v/>
      </c>
    </row>
    <row r="32" spans="1:28" ht="72">
      <c r="A32" s="34" t="str">
        <v>CA-741762-001</v>
      </c>
      <c r="B32" s="34" t="str">
        <v>631-PAL  -0424</v>
      </c>
      <c r="C32" s="34" t="str">
        <v>631-P-0424</v>
      </c>
      <c r="D32" s="34" t="str">
        <v>DCS</v>
      </c>
      <c r="E32" s="34" t="str">
        <v>PRESSURE ALARM LOW</v>
      </c>
      <c r="F32" s="34" t="str">
        <v>631-G-0119A CLS DRN PMP DISCH PR LO</v>
      </c>
      <c r="G32" s="34" t="str">
        <v/>
      </c>
      <c r="H32" s="34" t="str">
        <v/>
      </c>
      <c r="I32" s="34" t="str">
        <v/>
      </c>
      <c r="J32" s="34" t="str">
        <v/>
      </c>
      <c r="K32" s="34" t="str">
        <v/>
      </c>
      <c r="L32" s="34" t="str">
        <v/>
      </c>
      <c r="M32" s="34" t="str">
        <v/>
      </c>
      <c r="N32" s="34" t="str">
        <v/>
      </c>
      <c r="O32" s="34" t="str">
        <v/>
      </c>
      <c r="P32" s="34" t="str">
        <v>257</v>
      </c>
      <c r="Q32" s="34" t="str">
        <v/>
      </c>
      <c r="R32" s="34" t="str">
        <v/>
      </c>
      <c r="S32" s="34" t="str">
        <v>psiG</v>
      </c>
      <c r="T32" s="34" t="str">
        <v/>
      </c>
      <c r="U32" s="34" t="str">
        <v>SW</v>
      </c>
      <c r="V32" s="34" t="str">
        <v/>
      </c>
      <c r="W32" s="34" t="str">
        <v>-</v>
      </c>
      <c r="X32" s="34" t="str">
        <v>DCS</v>
      </c>
      <c r="Y32" s="34" t="str">
        <v>-</v>
      </c>
      <c r="Z32" s="34" t="str">
        <v>No</v>
      </c>
      <c r="AA32" s="34" t="str">
        <v>AUX</v>
      </c>
      <c r="AB32" s="34" t="str">
        <v/>
      </c>
    </row>
    <row r="33" spans="1:28" ht="72">
      <c r="A33" s="34" t="str">
        <v>CA-741762-001</v>
      </c>
      <c r="B33" s="34" t="str">
        <v>631-PIT  -0425</v>
      </c>
      <c r="C33" s="34" t="str">
        <v>631-P-0425</v>
      </c>
      <c r="D33" s="34" t="str">
        <v>FIELD</v>
      </c>
      <c r="E33" s="34" t="str">
        <v>PRESSURE INDICATING TRANSMITTER</v>
      </c>
      <c r="F33" s="34" t="str">
        <v>631-G-0119B CLS DRN PMP DISCH PR</v>
      </c>
      <c r="G33" s="34" t="str">
        <v>0</v>
      </c>
      <c r="H33" s="34" t="str">
        <v>500</v>
      </c>
      <c r="I33" s="34" t="str">
        <v>psiG</v>
      </c>
      <c r="J33" s="34" t="str">
        <v>0</v>
      </c>
      <c r="K33" s="34" t="str">
        <v>500</v>
      </c>
      <c r="L33" s="34" t="str">
        <v>psiG</v>
      </c>
      <c r="M33" s="34" t="str">
        <v/>
      </c>
      <c r="N33" s="34" t="str">
        <v/>
      </c>
      <c r="O33" s="34" t="str">
        <v/>
      </c>
      <c r="P33" s="34" t="str">
        <v/>
      </c>
      <c r="Q33" s="34" t="str">
        <v/>
      </c>
      <c r="R33" s="34" t="str">
        <v/>
      </c>
      <c r="S33" s="34" t="str">
        <v/>
      </c>
      <c r="T33" s="34" t="str">
        <v/>
      </c>
      <c r="U33" s="34" t="str">
        <v>HART AI</v>
      </c>
      <c r="V33" s="34" t="str">
        <v>631-DCS401</v>
      </c>
      <c r="W33" s="34" t="str">
        <v>4-20mA</v>
      </c>
      <c r="X33" s="34" t="str">
        <v>DCS</v>
      </c>
      <c r="Y33" s="34" t="str">
        <v>H</v>
      </c>
      <c r="Z33" s="34" t="str">
        <v>No</v>
      </c>
      <c r="AA33" s="34" t="str">
        <v>AUX</v>
      </c>
      <c r="AB33" s="34" t="str">
        <v/>
      </c>
    </row>
    <row r="34" spans="1:28" ht="72">
      <c r="A34" s="34" t="str">
        <v>CA-741762-001</v>
      </c>
      <c r="B34" s="34" t="str">
        <v>631-PI   -0425</v>
      </c>
      <c r="C34" s="34" t="str">
        <v>631-P-0425</v>
      </c>
      <c r="D34" s="34" t="str">
        <v>DCS</v>
      </c>
      <c r="E34" s="34" t="str">
        <v>DCS PRESSURE INDICATION</v>
      </c>
      <c r="F34" s="34" t="str">
        <v>631-G-0119B CLS DRN PMP DISCH PR</v>
      </c>
      <c r="G34" s="34" t="str">
        <v/>
      </c>
      <c r="H34" s="34" t="str">
        <v/>
      </c>
      <c r="I34" s="34" t="str">
        <v/>
      </c>
      <c r="J34" s="34" t="str">
        <v/>
      </c>
      <c r="K34" s="34" t="str">
        <v/>
      </c>
      <c r="L34" s="34" t="str">
        <v/>
      </c>
      <c r="M34" s="34" t="str">
        <v/>
      </c>
      <c r="N34" s="34" t="str">
        <v/>
      </c>
      <c r="O34" s="34" t="str">
        <v/>
      </c>
      <c r="P34" s="34" t="str">
        <v/>
      </c>
      <c r="Q34" s="34" t="str">
        <v/>
      </c>
      <c r="R34" s="34" t="str">
        <v/>
      </c>
      <c r="S34" s="34" t="str">
        <v/>
      </c>
      <c r="T34" s="34" t="str">
        <v/>
      </c>
      <c r="U34" s="34" t="str">
        <v>SW</v>
      </c>
      <c r="V34" s="34" t="str">
        <v/>
      </c>
      <c r="W34" s="34" t="str">
        <v>-</v>
      </c>
      <c r="X34" s="34" t="str">
        <v>DCS</v>
      </c>
      <c r="Y34" s="34" t="str">
        <v>-</v>
      </c>
      <c r="Z34" s="34" t="str">
        <v>No</v>
      </c>
      <c r="AA34" s="34" t="str">
        <v>AUX</v>
      </c>
      <c r="AB34" s="34" t="str">
        <v/>
      </c>
    </row>
    <row r="35" spans="1:28" ht="72">
      <c r="A35" s="34" t="str">
        <v>CA-741762-001</v>
      </c>
      <c r="B35" s="34" t="str">
        <v>631-PAH  -0425</v>
      </c>
      <c r="C35" s="34" t="str">
        <v>631-P-0425</v>
      </c>
      <c r="D35" s="34" t="str">
        <v>DCS</v>
      </c>
      <c r="E35" s="34" t="str">
        <v>PRESSURE ALARM HIGH</v>
      </c>
      <c r="F35" s="34" t="str">
        <v>631-G-0119B CLS DRN PMP DISCH PR HI</v>
      </c>
      <c r="G35" s="34" t="str">
        <v/>
      </c>
      <c r="H35" s="34" t="str">
        <v/>
      </c>
      <c r="I35" s="34" t="str">
        <v/>
      </c>
      <c r="J35" s="34" t="str">
        <v/>
      </c>
      <c r="K35" s="34" t="str">
        <v/>
      </c>
      <c r="L35" s="34" t="str">
        <v/>
      </c>
      <c r="M35" s="34" t="str">
        <v>305</v>
      </c>
      <c r="N35" s="34" t="str">
        <v/>
      </c>
      <c r="O35" s="34" t="str">
        <v/>
      </c>
      <c r="P35" s="34" t="str">
        <v/>
      </c>
      <c r="Q35" s="34" t="str">
        <v/>
      </c>
      <c r="R35" s="34" t="str">
        <v/>
      </c>
      <c r="S35" s="34" t="str">
        <v>psiG</v>
      </c>
      <c r="T35" s="34" t="str">
        <v/>
      </c>
      <c r="U35" s="34" t="str">
        <v>SW</v>
      </c>
      <c r="V35" s="34" t="str">
        <v/>
      </c>
      <c r="W35" s="34" t="str">
        <v>-</v>
      </c>
      <c r="X35" s="34" t="str">
        <v>DCS</v>
      </c>
      <c r="Y35" s="34" t="str">
        <v>-</v>
      </c>
      <c r="Z35" s="34" t="str">
        <v>No</v>
      </c>
      <c r="AA35" s="34" t="str">
        <v>AUX</v>
      </c>
      <c r="AB35" s="34" t="str">
        <v/>
      </c>
    </row>
    <row r="36" spans="1:28" ht="72">
      <c r="A36" s="34" t="str">
        <v>CA-741762-001</v>
      </c>
      <c r="B36" s="34" t="str">
        <v>631-PAL  -0425</v>
      </c>
      <c r="C36" s="34" t="str">
        <v>631-P-0425</v>
      </c>
      <c r="D36" s="34" t="str">
        <v>DCS</v>
      </c>
      <c r="E36" s="34" t="str">
        <v>PRESSURE ALARM LOW</v>
      </c>
      <c r="F36" s="34" t="str">
        <v>631-G-0119B CLS DRN PMP DISCH PR LO</v>
      </c>
      <c r="G36" s="34" t="str">
        <v/>
      </c>
      <c r="H36" s="34" t="str">
        <v/>
      </c>
      <c r="I36" s="34" t="str">
        <v/>
      </c>
      <c r="J36" s="34" t="str">
        <v/>
      </c>
      <c r="K36" s="34" t="str">
        <v/>
      </c>
      <c r="L36" s="34" t="str">
        <v/>
      </c>
      <c r="M36" s="34" t="str">
        <v/>
      </c>
      <c r="N36" s="34" t="str">
        <v/>
      </c>
      <c r="O36" s="34" t="str">
        <v/>
      </c>
      <c r="P36" s="34" t="str">
        <v>257</v>
      </c>
      <c r="Q36" s="34" t="str">
        <v/>
      </c>
      <c r="R36" s="34" t="str">
        <v/>
      </c>
      <c r="S36" s="34" t="str">
        <v>psiG</v>
      </c>
      <c r="T36" s="34" t="str">
        <v/>
      </c>
      <c r="U36" s="34" t="str">
        <v>SW</v>
      </c>
      <c r="V36" s="34" t="str">
        <v/>
      </c>
      <c r="W36" s="34" t="str">
        <v>-</v>
      </c>
      <c r="X36" s="34" t="str">
        <v>DCS</v>
      </c>
      <c r="Y36" s="34" t="str">
        <v>-</v>
      </c>
      <c r="Z36" s="34" t="str">
        <v>No</v>
      </c>
      <c r="AA36" s="34" t="str">
        <v>AUX</v>
      </c>
      <c r="AB36" s="34" t="str">
        <v/>
      </c>
    </row>
    <row r="37" spans="1:28" ht="60">
      <c r="A37" s="34" t="str">
        <v>CA-741762-001</v>
      </c>
      <c r="B37" s="34" t="str">
        <v>631-PDIT -0429</v>
      </c>
      <c r="C37" s="34" t="str">
        <v>631-P-0429</v>
      </c>
      <c r="D37" s="34" t="str">
        <v>FIELD</v>
      </c>
      <c r="E37" s="34" t="str">
        <v>D/P TRANSMITTER</v>
      </c>
      <c r="F37" s="34" t="str">
        <v>631-G-0119A CLS DRN PMP SUC STNR DP</v>
      </c>
      <c r="G37" s="34" t="str">
        <v>0</v>
      </c>
      <c r="H37" s="34" t="str">
        <v>2</v>
      </c>
      <c r="I37" s="34" t="str">
        <v>psi</v>
      </c>
      <c r="J37" s="34" t="str">
        <v>0</v>
      </c>
      <c r="K37" s="34" t="str">
        <v>2</v>
      </c>
      <c r="L37" s="34" t="str">
        <v>psi</v>
      </c>
      <c r="M37" s="34" t="str">
        <v/>
      </c>
      <c r="N37" s="34" t="str">
        <v/>
      </c>
      <c r="O37" s="34" t="str">
        <v/>
      </c>
      <c r="P37" s="34" t="str">
        <v/>
      </c>
      <c r="Q37" s="34" t="str">
        <v/>
      </c>
      <c r="R37" s="34" t="str">
        <v/>
      </c>
      <c r="S37" s="34" t="str">
        <v/>
      </c>
      <c r="T37" s="34" t="str">
        <v/>
      </c>
      <c r="U37" s="34" t="str">
        <v>HART AI</v>
      </c>
      <c r="V37" s="34" t="str">
        <v>631-DCS401</v>
      </c>
      <c r="W37" s="34" t="str">
        <v>4-20mA</v>
      </c>
      <c r="X37" s="34" t="str">
        <v>DCS</v>
      </c>
      <c r="Y37" s="34" t="str">
        <v>H</v>
      </c>
      <c r="Z37" s="34" t="str">
        <v>No</v>
      </c>
      <c r="AA37" s="34" t="str">
        <v>AUX</v>
      </c>
      <c r="AB37" s="34" t="str">
        <v/>
      </c>
    </row>
    <row r="38" spans="1:28" ht="60">
      <c r="A38" s="34" t="str">
        <v>CA-741762-001</v>
      </c>
      <c r="B38" s="34" t="str">
        <v>631-PDI  -0429</v>
      </c>
      <c r="C38" s="34" t="str">
        <v>631-P-0429</v>
      </c>
      <c r="D38" s="34" t="str">
        <v>DCS</v>
      </c>
      <c r="E38" s="34" t="str">
        <v>DIFF PRESSURE INDICATION</v>
      </c>
      <c r="F38" s="34" t="str">
        <v>631-G-0119A CLS DRN PMP SUC STNR DP</v>
      </c>
      <c r="G38" s="34" t="str">
        <v/>
      </c>
      <c r="H38" s="34" t="str">
        <v/>
      </c>
      <c r="I38" s="34" t="str">
        <v/>
      </c>
      <c r="J38" s="34" t="str">
        <v/>
      </c>
      <c r="K38" s="34" t="str">
        <v/>
      </c>
      <c r="L38" s="34" t="str">
        <v/>
      </c>
      <c r="M38" s="34" t="str">
        <v/>
      </c>
      <c r="N38" s="34" t="str">
        <v/>
      </c>
      <c r="O38" s="34" t="str">
        <v/>
      </c>
      <c r="P38" s="34" t="str">
        <v/>
      </c>
      <c r="Q38" s="34" t="str">
        <v/>
      </c>
      <c r="R38" s="34" t="str">
        <v/>
      </c>
      <c r="S38" s="34" t="str">
        <v/>
      </c>
      <c r="T38" s="34" t="str">
        <v/>
      </c>
      <c r="U38" s="34" t="str">
        <v>SW</v>
      </c>
      <c r="V38" s="34" t="str">
        <v/>
      </c>
      <c r="W38" s="34" t="str">
        <v>-</v>
      </c>
      <c r="X38" s="34" t="str">
        <v>DCS</v>
      </c>
      <c r="Y38" s="34" t="str">
        <v>-</v>
      </c>
      <c r="Z38" s="34" t="str">
        <v>No</v>
      </c>
      <c r="AA38" s="34" t="str">
        <v>AUX</v>
      </c>
      <c r="AB38" s="34" t="str">
        <v/>
      </c>
    </row>
    <row r="39" spans="1:28" ht="72">
      <c r="A39" s="34" t="str">
        <v>CA-741762-001</v>
      </c>
      <c r="B39" s="34" t="str">
        <v>631-PDAH -0429</v>
      </c>
      <c r="C39" s="34" t="str">
        <v>631-P-0429</v>
      </c>
      <c r="D39" s="34" t="str">
        <v>DCS</v>
      </c>
      <c r="E39" s="34" t="str">
        <v>DIFF PRESSURE ALARM HIGH</v>
      </c>
      <c r="F39" s="34" t="str">
        <v>631-G-0119A CLS DRN PMP SUC STNR DP HI</v>
      </c>
      <c r="G39" s="34" t="str">
        <v/>
      </c>
      <c r="H39" s="34" t="str">
        <v/>
      </c>
      <c r="I39" s="34" t="str">
        <v/>
      </c>
      <c r="J39" s="34" t="str">
        <v/>
      </c>
      <c r="K39" s="34" t="str">
        <v/>
      </c>
      <c r="L39" s="34" t="str">
        <v/>
      </c>
      <c r="M39" s="34" t="str">
        <v>1</v>
      </c>
      <c r="N39" s="34" t="str">
        <v/>
      </c>
      <c r="O39" s="34" t="str">
        <v/>
      </c>
      <c r="P39" s="34" t="str">
        <v/>
      </c>
      <c r="Q39" s="34" t="str">
        <v/>
      </c>
      <c r="R39" s="34" t="str">
        <v/>
      </c>
      <c r="S39" s="34" t="str">
        <v>psi</v>
      </c>
      <c r="T39" s="34" t="str">
        <v/>
      </c>
      <c r="U39" s="34" t="str">
        <v>SW</v>
      </c>
      <c r="V39" s="34" t="str">
        <v/>
      </c>
      <c r="W39" s="34" t="str">
        <v>-</v>
      </c>
      <c r="X39" s="34" t="str">
        <v>DCS</v>
      </c>
      <c r="Y39" s="34" t="str">
        <v>-</v>
      </c>
      <c r="Z39" s="34" t="str">
        <v>No</v>
      </c>
      <c r="AA39" s="34" t="str">
        <v>AUX</v>
      </c>
      <c r="AB39" s="34" t="str">
        <v/>
      </c>
    </row>
    <row r="40" spans="1:28" ht="60">
      <c r="A40" s="34" t="str">
        <v>CA-741762-001</v>
      </c>
      <c r="B40" s="34" t="str">
        <v>631-PDIT -0430</v>
      </c>
      <c r="C40" s="34" t="str">
        <v>631-P-0430</v>
      </c>
      <c r="D40" s="34" t="str">
        <v>FIELD</v>
      </c>
      <c r="E40" s="34" t="str">
        <v>D/P TRANSMITTER</v>
      </c>
      <c r="F40" s="34" t="str">
        <v>631-G-0119B CLS DRN PMP SUC STNR DP</v>
      </c>
      <c r="G40" s="34" t="str">
        <v>0</v>
      </c>
      <c r="H40" s="34" t="str">
        <v>2</v>
      </c>
      <c r="I40" s="34" t="str">
        <v>psi</v>
      </c>
      <c r="J40" s="34" t="str">
        <v>0</v>
      </c>
      <c r="K40" s="34" t="str">
        <v>2</v>
      </c>
      <c r="L40" s="34" t="str">
        <v>psi</v>
      </c>
      <c r="M40" s="34" t="str">
        <v/>
      </c>
      <c r="N40" s="34" t="str">
        <v/>
      </c>
      <c r="O40" s="34" t="str">
        <v/>
      </c>
      <c r="P40" s="34" t="str">
        <v/>
      </c>
      <c r="Q40" s="34" t="str">
        <v/>
      </c>
      <c r="R40" s="34" t="str">
        <v/>
      </c>
      <c r="S40" s="34" t="str">
        <v/>
      </c>
      <c r="T40" s="34" t="str">
        <v/>
      </c>
      <c r="U40" s="34" t="str">
        <v>HART AI</v>
      </c>
      <c r="V40" s="34" t="str">
        <v>631-DCS401</v>
      </c>
      <c r="W40" s="34" t="str">
        <v>4-20mA</v>
      </c>
      <c r="X40" s="34" t="str">
        <v>DCS</v>
      </c>
      <c r="Y40" s="34" t="str">
        <v>H</v>
      </c>
      <c r="Z40" s="34" t="str">
        <v>No</v>
      </c>
      <c r="AA40" s="34" t="str">
        <v>AUX</v>
      </c>
      <c r="AB40" s="34" t="str">
        <v/>
      </c>
    </row>
    <row r="41" spans="1:28" ht="60">
      <c r="A41" s="34" t="str">
        <v>CA-741762-001</v>
      </c>
      <c r="B41" s="34" t="str">
        <v>631-PDI  -0430</v>
      </c>
      <c r="C41" s="34" t="str">
        <v>631-P-0430</v>
      </c>
      <c r="D41" s="34" t="str">
        <v>DCS</v>
      </c>
      <c r="E41" s="34" t="str">
        <v>DIFF PRESSURE INDICATION</v>
      </c>
      <c r="F41" s="34" t="str">
        <v>631-G-0119B CLS DRN PMP SUC STNR DP</v>
      </c>
      <c r="G41" s="34" t="str">
        <v/>
      </c>
      <c r="H41" s="34" t="str">
        <v/>
      </c>
      <c r="I41" s="34" t="str">
        <v/>
      </c>
      <c r="J41" s="34" t="str">
        <v/>
      </c>
      <c r="K41" s="34" t="str">
        <v/>
      </c>
      <c r="L41" s="34" t="str">
        <v/>
      </c>
      <c r="M41" s="34" t="str">
        <v/>
      </c>
      <c r="N41" s="34" t="str">
        <v/>
      </c>
      <c r="O41" s="34" t="str">
        <v/>
      </c>
      <c r="P41" s="34" t="str">
        <v/>
      </c>
      <c r="Q41" s="34" t="str">
        <v/>
      </c>
      <c r="R41" s="34" t="str">
        <v/>
      </c>
      <c r="S41" s="34" t="str">
        <v/>
      </c>
      <c r="T41" s="34" t="str">
        <v/>
      </c>
      <c r="U41" s="34" t="str">
        <v>SW</v>
      </c>
      <c r="V41" s="34" t="str">
        <v/>
      </c>
      <c r="W41" s="34" t="str">
        <v>-</v>
      </c>
      <c r="X41" s="34" t="str">
        <v>DCS</v>
      </c>
      <c r="Y41" s="34" t="str">
        <v>-</v>
      </c>
      <c r="Z41" s="34" t="str">
        <v>No</v>
      </c>
      <c r="AA41" s="34" t="str">
        <v>AUX</v>
      </c>
      <c r="AB41" s="34" t="str">
        <v/>
      </c>
    </row>
    <row r="42" spans="1:28" ht="72">
      <c r="A42" s="34" t="str">
        <v>CA-741762-001</v>
      </c>
      <c r="B42" s="34" t="str">
        <v>631-PDAH -0430</v>
      </c>
      <c r="C42" s="34" t="str">
        <v>631-P-0430</v>
      </c>
      <c r="D42" s="34" t="str">
        <v>DCS</v>
      </c>
      <c r="E42" s="34" t="str">
        <v>DIFF PRESSURE ALARM HIGH</v>
      </c>
      <c r="F42" s="34" t="str">
        <v>631-G-0119B CLS DRN PMP SUC STNR DP HI</v>
      </c>
      <c r="G42" s="34" t="str">
        <v/>
      </c>
      <c r="H42" s="34" t="str">
        <v/>
      </c>
      <c r="I42" s="34" t="str">
        <v/>
      </c>
      <c r="J42" s="34" t="str">
        <v/>
      </c>
      <c r="K42" s="34" t="str">
        <v/>
      </c>
      <c r="L42" s="34" t="str">
        <v/>
      </c>
      <c r="M42" s="34" t="str">
        <v>1</v>
      </c>
      <c r="N42" s="34" t="str">
        <v/>
      </c>
      <c r="O42" s="34" t="str">
        <v/>
      </c>
      <c r="P42" s="34" t="str">
        <v/>
      </c>
      <c r="Q42" s="34" t="str">
        <v/>
      </c>
      <c r="R42" s="34" t="str">
        <v/>
      </c>
      <c r="S42" s="34" t="str">
        <v>psi</v>
      </c>
      <c r="T42" s="34" t="str">
        <v/>
      </c>
      <c r="U42" s="34" t="str">
        <v>SW</v>
      </c>
      <c r="V42" s="34" t="str">
        <v/>
      </c>
      <c r="W42" s="34" t="str">
        <v>-</v>
      </c>
      <c r="X42" s="34" t="str">
        <v>DCS</v>
      </c>
      <c r="Y42" s="34" t="str">
        <v>-</v>
      </c>
      <c r="Z42" s="34" t="str">
        <v>No</v>
      </c>
      <c r="AA42" s="34" t="str">
        <v>AUX</v>
      </c>
      <c r="AB42" s="34" t="str">
        <v/>
      </c>
    </row>
    <row r="43" spans="1:28" ht="84">
      <c r="A43" s="34" t="str">
        <v>CA-741762-001</v>
      </c>
      <c r="B43" s="34" t="str">
        <v>631-PIT  -0431</v>
      </c>
      <c r="C43" s="34" t="str">
        <v>631-P-0431</v>
      </c>
      <c r="D43" s="34" t="str">
        <v>FIELD</v>
      </c>
      <c r="E43" s="34" t="str">
        <v>PRESSURE INDICATING TRANSMITTER</v>
      </c>
      <c r="F43" s="34" t="str">
        <v>631-G-0119A/B CLS DRN PMP DISCH PR</v>
      </c>
      <c r="G43" s="34" t="str">
        <v>0</v>
      </c>
      <c r="H43" s="34" t="str">
        <v>500</v>
      </c>
      <c r="I43" s="34" t="str">
        <v>psiG</v>
      </c>
      <c r="J43" s="34" t="str">
        <v>0</v>
      </c>
      <c r="K43" s="34" t="str">
        <v>500</v>
      </c>
      <c r="L43" s="34" t="str">
        <v>psiG</v>
      </c>
      <c r="M43" s="34" t="str">
        <v/>
      </c>
      <c r="N43" s="34" t="str">
        <v/>
      </c>
      <c r="O43" s="34" t="str">
        <v/>
      </c>
      <c r="P43" s="34" t="str">
        <v/>
      </c>
      <c r="Q43" s="34" t="str">
        <v/>
      </c>
      <c r="R43" s="34" t="str">
        <v/>
      </c>
      <c r="S43" s="34" t="str">
        <v/>
      </c>
      <c r="T43" s="34" t="str">
        <v/>
      </c>
      <c r="U43" s="34" t="str">
        <v>HART AI</v>
      </c>
      <c r="V43" s="34" t="str">
        <v>631-DCS401</v>
      </c>
      <c r="W43" s="34" t="str">
        <v>4-20mA</v>
      </c>
      <c r="X43" s="34" t="str">
        <v>DCS</v>
      </c>
      <c r="Y43" s="34" t="str">
        <v>H</v>
      </c>
      <c r="Z43" s="34" t="str">
        <v>No</v>
      </c>
      <c r="AA43" s="34" t="str">
        <v>AUX</v>
      </c>
      <c r="AB43" s="34" t="str">
        <v/>
      </c>
    </row>
    <row r="44" spans="1:28" ht="84">
      <c r="A44" s="34" t="str">
        <v>CA-741762-001</v>
      </c>
      <c r="B44" s="34" t="str">
        <v>631-PI   -0431</v>
      </c>
      <c r="C44" s="34" t="str">
        <v>631-P-0431</v>
      </c>
      <c r="D44" s="34" t="str">
        <v>DCS</v>
      </c>
      <c r="E44" s="34" t="str">
        <v>DCS PRESSURE INDICATION</v>
      </c>
      <c r="F44" s="34" t="str">
        <v>631-G-0119A/B CLS DRN PMP DISCH PR</v>
      </c>
      <c r="G44" s="34" t="str">
        <v/>
      </c>
      <c r="H44" s="34" t="str">
        <v/>
      </c>
      <c r="I44" s="34" t="str">
        <v/>
      </c>
      <c r="J44" s="34" t="str">
        <v/>
      </c>
      <c r="K44" s="34" t="str">
        <v/>
      </c>
      <c r="L44" s="34" t="str">
        <v/>
      </c>
      <c r="M44" s="34" t="str">
        <v/>
      </c>
      <c r="N44" s="34" t="str">
        <v/>
      </c>
      <c r="O44" s="34" t="str">
        <v/>
      </c>
      <c r="P44" s="34" t="str">
        <v/>
      </c>
      <c r="Q44" s="34" t="str">
        <v/>
      </c>
      <c r="R44" s="34" t="str">
        <v/>
      </c>
      <c r="S44" s="34" t="str">
        <v/>
      </c>
      <c r="T44" s="34" t="str">
        <v/>
      </c>
      <c r="U44" s="34" t="str">
        <v>SW</v>
      </c>
      <c r="V44" s="34" t="str">
        <v/>
      </c>
      <c r="W44" s="34" t="str">
        <v>-</v>
      </c>
      <c r="X44" s="34" t="str">
        <v>DCS</v>
      </c>
      <c r="Y44" s="34" t="str">
        <v>-</v>
      </c>
      <c r="Z44" s="34" t="str">
        <v>No</v>
      </c>
      <c r="AA44" s="34" t="str">
        <v>AUX</v>
      </c>
      <c r="AB44" s="34" t="str">
        <v/>
      </c>
    </row>
    <row r="45" spans="1:28" ht="72">
      <c r="A45" s="34" t="str">
        <v>CA-741762-001</v>
      </c>
      <c r="B45" s="34" t="str">
        <v>631-PY   -0431</v>
      </c>
      <c r="C45" s="34" t="str">
        <v>631-P-0431</v>
      </c>
      <c r="D45" s="34" t="str">
        <v>VALVE</v>
      </c>
      <c r="E45" s="34" t="str">
        <v>I/P CONVERTER</v>
      </c>
      <c r="F45" s="34" t="str">
        <v>631-G-0119A/B MIN FLOW RECYC PR</v>
      </c>
      <c r="G45" s="34" t="str">
        <v/>
      </c>
      <c r="H45" s="34" t="str">
        <v/>
      </c>
      <c r="I45" s="34" t="str">
        <v/>
      </c>
      <c r="J45" s="34" t="str">
        <v/>
      </c>
      <c r="K45" s="34" t="str">
        <v/>
      </c>
      <c r="L45" s="34" t="str">
        <v/>
      </c>
      <c r="M45" s="34" t="str">
        <v/>
      </c>
      <c r="N45" s="34" t="str">
        <v/>
      </c>
      <c r="O45" s="34" t="str">
        <v/>
      </c>
      <c r="P45" s="34" t="str">
        <v/>
      </c>
      <c r="Q45" s="34" t="str">
        <v/>
      </c>
      <c r="R45" s="34" t="str">
        <v/>
      </c>
      <c r="S45" s="34" t="str">
        <v/>
      </c>
      <c r="T45" s="34" t="str">
        <v/>
      </c>
      <c r="U45" s="34" t="str">
        <v>HART AO</v>
      </c>
      <c r="V45" s="34" t="str">
        <v>631-DCS401</v>
      </c>
      <c r="W45" s="34" t="str">
        <v>4-20mA</v>
      </c>
      <c r="X45" s="34" t="str">
        <v>DCS</v>
      </c>
      <c r="Y45" s="34" t="str">
        <v>H</v>
      </c>
      <c r="Z45" s="34" t="str">
        <v>No</v>
      </c>
      <c r="AA45" s="34" t="str">
        <v>AUX</v>
      </c>
      <c r="AB45" s="34" t="str">
        <v/>
      </c>
    </row>
    <row r="46" spans="1:28" ht="84">
      <c r="A46" s="34" t="str">
        <v>CA-741762-001</v>
      </c>
      <c r="B46" s="34" t="str">
        <v>631-PAH  -0431</v>
      </c>
      <c r="C46" s="34" t="str">
        <v>631-P-0431</v>
      </c>
      <c r="D46" s="34" t="str">
        <v>DCS</v>
      </c>
      <c r="E46" s="34" t="str">
        <v>PRESSURE ALARM HIGH</v>
      </c>
      <c r="F46" s="34" t="str">
        <v>631-G-0119A/B CLS DRN PMP DISCH PR HI</v>
      </c>
      <c r="G46" s="34" t="str">
        <v/>
      </c>
      <c r="H46" s="34" t="str">
        <v/>
      </c>
      <c r="I46" s="34" t="str">
        <v/>
      </c>
      <c r="J46" s="34" t="str">
        <v/>
      </c>
      <c r="K46" s="34" t="str">
        <v/>
      </c>
      <c r="L46" s="34" t="str">
        <v/>
      </c>
      <c r="M46" s="34" t="str">
        <v>315</v>
      </c>
      <c r="N46" s="34" t="str">
        <v/>
      </c>
      <c r="O46" s="34" t="str">
        <v/>
      </c>
      <c r="P46" s="34" t="str">
        <v/>
      </c>
      <c r="Q46" s="34" t="str">
        <v/>
      </c>
      <c r="R46" s="34" t="str">
        <v/>
      </c>
      <c r="S46" s="34" t="str">
        <v>psiG</v>
      </c>
      <c r="T46" s="34" t="str">
        <v/>
      </c>
      <c r="U46" s="34" t="str">
        <v>SW</v>
      </c>
      <c r="V46" s="34" t="str">
        <v/>
      </c>
      <c r="W46" s="34" t="str">
        <v>-</v>
      </c>
      <c r="X46" s="34" t="str">
        <v>DCS</v>
      </c>
      <c r="Y46" s="34" t="str">
        <v>-</v>
      </c>
      <c r="Z46" s="34" t="str">
        <v>No</v>
      </c>
      <c r="AA46" s="34" t="str">
        <v>AUX</v>
      </c>
      <c r="AB46" s="34" t="str">
        <v/>
      </c>
    </row>
    <row r="47" spans="1:28" ht="84">
      <c r="A47" s="34" t="str">
        <v>CA-741762-001</v>
      </c>
      <c r="B47" s="34" t="str">
        <v>631-PIC  -0431</v>
      </c>
      <c r="C47" s="34" t="str">
        <v>631-P-0431</v>
      </c>
      <c r="D47" s="34" t="str">
        <v>DCS</v>
      </c>
      <c r="E47" s="34" t="str">
        <v>PRESSURE INDICATION CONTROLLER</v>
      </c>
      <c r="F47" s="34" t="str">
        <v>631-G-0119A/B CLS DRN PMP DISCH PR CTRL</v>
      </c>
      <c r="G47" s="34" t="str">
        <v/>
      </c>
      <c r="H47" s="34" t="str">
        <v/>
      </c>
      <c r="I47" s="34" t="str">
        <v/>
      </c>
      <c r="J47" s="34" t="str">
        <v/>
      </c>
      <c r="K47" s="34" t="str">
        <v/>
      </c>
      <c r="L47" s="34" t="str">
        <v/>
      </c>
      <c r="M47" s="34" t="str">
        <v/>
      </c>
      <c r="N47" s="34" t="str">
        <v/>
      </c>
      <c r="O47" s="34" t="str">
        <v/>
      </c>
      <c r="P47" s="34" t="str">
        <v/>
      </c>
      <c r="Q47" s="34" t="str">
        <v/>
      </c>
      <c r="R47" s="34" t="str">
        <v/>
      </c>
      <c r="S47" s="34" t="str">
        <v/>
      </c>
      <c r="T47" s="34" t="str">
        <v/>
      </c>
      <c r="U47" s="34" t="str">
        <v>SW</v>
      </c>
      <c r="V47" s="34" t="str">
        <v/>
      </c>
      <c r="W47" s="34" t="str">
        <v>-</v>
      </c>
      <c r="X47" s="34" t="str">
        <v>DCS</v>
      </c>
      <c r="Y47" s="34" t="str">
        <v>-</v>
      </c>
      <c r="Z47" s="34" t="str">
        <v>No</v>
      </c>
      <c r="AA47" s="34" t="str">
        <v>AUX</v>
      </c>
      <c r="AB47" s="34" t="str">
        <v/>
      </c>
    </row>
    <row r="48" spans="1:28" ht="60">
      <c r="A48" s="34" t="str">
        <v>CA-741762-001</v>
      </c>
      <c r="B48" s="34" t="str">
        <v>631-PI   -0713</v>
      </c>
      <c r="C48" s="34" t="str">
        <v>631-P-0713</v>
      </c>
      <c r="D48" s="34" t="str">
        <v>DCS</v>
      </c>
      <c r="E48" s="34" t="str">
        <v>DCS PRESSURE INDICATION</v>
      </c>
      <c r="F48" s="34" t="str">
        <v>631-G-0119A CLS DRN PMP SEAL PR</v>
      </c>
      <c r="G48" s="34" t="str">
        <v/>
      </c>
      <c r="H48" s="34" t="str">
        <v/>
      </c>
      <c r="I48" s="34" t="str">
        <v/>
      </c>
      <c r="J48" s="34" t="str">
        <v/>
      </c>
      <c r="K48" s="34" t="str">
        <v/>
      </c>
      <c r="L48" s="34" t="str">
        <v/>
      </c>
      <c r="M48" s="34" t="str">
        <v/>
      </c>
      <c r="N48" s="34" t="str">
        <v/>
      </c>
      <c r="O48" s="34" t="str">
        <v/>
      </c>
      <c r="P48" s="34" t="str">
        <v/>
      </c>
      <c r="Q48" s="34" t="str">
        <v/>
      </c>
      <c r="R48" s="34" t="str">
        <v/>
      </c>
      <c r="S48" s="34" t="str">
        <v/>
      </c>
      <c r="T48" s="34" t="str">
        <v/>
      </c>
      <c r="U48" s="34" t="str">
        <v>SW</v>
      </c>
      <c r="V48" s="34" t="str">
        <v/>
      </c>
      <c r="W48" s="34" t="str">
        <v>-</v>
      </c>
      <c r="X48" s="34" t="str">
        <v>DCS</v>
      </c>
      <c r="Y48" s="34" t="str">
        <v>-</v>
      </c>
      <c r="Z48" s="34" t="str">
        <v>No</v>
      </c>
      <c r="AA48" s="34" t="str">
        <v>AUX</v>
      </c>
      <c r="AB48" s="34" t="str">
        <v/>
      </c>
    </row>
    <row r="49" spans="1:28" ht="72">
      <c r="A49" s="34" t="str">
        <v>CA-741762-001</v>
      </c>
      <c r="B49" s="34" t="str">
        <v>631-PIT  -0713</v>
      </c>
      <c r="C49" s="34" t="str">
        <v>631-P-0713</v>
      </c>
      <c r="D49" s="34" t="str">
        <v>FIELD</v>
      </c>
      <c r="E49" s="34" t="str">
        <v>PRESSURE INDICATING TRANSMITTER</v>
      </c>
      <c r="F49" s="34" t="str">
        <v>631-G-0119A CLS DRN PMP SEAL PR</v>
      </c>
      <c r="G49" s="34" t="str">
        <v>0</v>
      </c>
      <c r="H49" s="34" t="str">
        <v>60</v>
      </c>
      <c r="I49" s="34" t="str">
        <v>psiG</v>
      </c>
      <c r="J49" s="34" t="str">
        <v>0</v>
      </c>
      <c r="K49" s="34" t="str">
        <v>60</v>
      </c>
      <c r="L49" s="34" t="str">
        <v>psiG</v>
      </c>
      <c r="M49" s="34" t="str">
        <v/>
      </c>
      <c r="N49" s="34" t="str">
        <v/>
      </c>
      <c r="O49" s="34" t="str">
        <v/>
      </c>
      <c r="P49" s="34" t="str">
        <v/>
      </c>
      <c r="Q49" s="34" t="str">
        <v/>
      </c>
      <c r="R49" s="34" t="str">
        <v/>
      </c>
      <c r="S49" s="34" t="str">
        <v/>
      </c>
      <c r="T49" s="34" t="str">
        <v>631-G-0119A</v>
      </c>
      <c r="U49" s="34" t="str">
        <v>HART AI</v>
      </c>
      <c r="V49" s="34" t="str">
        <v>631-DCS401</v>
      </c>
      <c r="W49" s="34" t="str">
        <v>4-20mA</v>
      </c>
      <c r="X49" s="34" t="str">
        <v>DCS</v>
      </c>
      <c r="Y49" s="34" t="str">
        <v>H</v>
      </c>
      <c r="Z49" s="34" t="str">
        <v>No</v>
      </c>
      <c r="AA49" s="34" t="str">
        <v>AUX</v>
      </c>
      <c r="AB49" s="34" t="str">
        <v/>
      </c>
    </row>
    <row r="50" spans="1:28" ht="72">
      <c r="A50" s="34" t="str">
        <v>CA-741762-001</v>
      </c>
      <c r="B50" s="34" t="str">
        <v>631-PAH  -0713</v>
      </c>
      <c r="C50" s="34" t="str">
        <v>631-P-0713</v>
      </c>
      <c r="D50" s="34" t="str">
        <v>DCS</v>
      </c>
      <c r="E50" s="34" t="str">
        <v>PRESSURE ALARM HIGH</v>
      </c>
      <c r="F50" s="34" t="str">
        <v>631-G-0119A CLS DRN PMP SEAL PR HI</v>
      </c>
      <c r="G50" s="34" t="str">
        <v/>
      </c>
      <c r="H50" s="34" t="str">
        <v/>
      </c>
      <c r="I50" s="34" t="str">
        <v/>
      </c>
      <c r="J50" s="34" t="str">
        <v/>
      </c>
      <c r="K50" s="34" t="str">
        <v/>
      </c>
      <c r="L50" s="34" t="str">
        <v/>
      </c>
      <c r="M50" s="34" t="str">
        <v>40</v>
      </c>
      <c r="N50" s="34" t="str">
        <v/>
      </c>
      <c r="O50" s="34" t="str">
        <v/>
      </c>
      <c r="P50" s="34" t="str">
        <v/>
      </c>
      <c r="Q50" s="34" t="str">
        <v/>
      </c>
      <c r="R50" s="34" t="str">
        <v/>
      </c>
      <c r="S50" s="34" t="str">
        <v>psiG</v>
      </c>
      <c r="T50" s="34" t="str">
        <v/>
      </c>
      <c r="U50" s="34" t="str">
        <v>SW</v>
      </c>
      <c r="V50" s="34" t="str">
        <v/>
      </c>
      <c r="W50" s="34" t="str">
        <v>-</v>
      </c>
      <c r="X50" s="34" t="str">
        <v>DCS</v>
      </c>
      <c r="Y50" s="34" t="str">
        <v>-</v>
      </c>
      <c r="Z50" s="34" t="str">
        <v>No</v>
      </c>
      <c r="AA50" s="34" t="str">
        <v>AUX</v>
      </c>
      <c r="AB50" s="34" t="str">
        <v/>
      </c>
    </row>
    <row r="51" spans="1:28" ht="72">
      <c r="A51" s="34" t="str">
        <v>CA-741762-001</v>
      </c>
      <c r="B51" s="34" t="str">
        <v>631-PAL  -0713</v>
      </c>
      <c r="C51" s="34" t="str">
        <v>631-P-0713</v>
      </c>
      <c r="D51" s="34" t="str">
        <v>DCS</v>
      </c>
      <c r="E51" s="34" t="str">
        <v>PRESSURE ALARM LOW</v>
      </c>
      <c r="F51" s="34" t="str">
        <v>631-G-0119A CLS DRN PMP SEAL PR LO</v>
      </c>
      <c r="G51" s="34" t="str">
        <v/>
      </c>
      <c r="H51" s="34" t="str">
        <v/>
      </c>
      <c r="I51" s="34" t="str">
        <v/>
      </c>
      <c r="J51" s="34" t="str">
        <v/>
      </c>
      <c r="K51" s="34" t="str">
        <v/>
      </c>
      <c r="L51" s="34" t="str">
        <v/>
      </c>
      <c r="M51" s="34" t="str">
        <v/>
      </c>
      <c r="N51" s="34" t="str">
        <v/>
      </c>
      <c r="O51" s="34" t="str">
        <v/>
      </c>
      <c r="P51" s="34" t="str">
        <v>25</v>
      </c>
      <c r="Q51" s="34" t="str">
        <v/>
      </c>
      <c r="R51" s="34" t="str">
        <v/>
      </c>
      <c r="S51" s="34" t="str">
        <v>psiG</v>
      </c>
      <c r="T51" s="34" t="str">
        <v/>
      </c>
      <c r="U51" s="34" t="str">
        <v>SW</v>
      </c>
      <c r="V51" s="34" t="str">
        <v/>
      </c>
      <c r="W51" s="34" t="str">
        <v>-</v>
      </c>
      <c r="X51" s="34" t="str">
        <v>DCS</v>
      </c>
      <c r="Y51" s="34" t="str">
        <v>-</v>
      </c>
      <c r="Z51" s="34" t="str">
        <v>No</v>
      </c>
      <c r="AA51" s="34" t="str">
        <v>AUX</v>
      </c>
      <c r="AB51" s="34" t="str">
        <v/>
      </c>
    </row>
    <row r="52" spans="1:28" ht="60">
      <c r="A52" s="34" t="str">
        <v>CA-741762-001</v>
      </c>
      <c r="B52" s="34" t="str">
        <v>631-PI   -0714</v>
      </c>
      <c r="C52" s="34" t="str">
        <v>631-P-0714</v>
      </c>
      <c r="D52" s="34" t="str">
        <v>DCS</v>
      </c>
      <c r="E52" s="34" t="str">
        <v>DCS PRESSURE INDICATION</v>
      </c>
      <c r="F52" s="34" t="str">
        <v>631-G-0119B CLS DRN PMP SEAL PR</v>
      </c>
      <c r="G52" s="34" t="str">
        <v/>
      </c>
      <c r="H52" s="34" t="str">
        <v/>
      </c>
      <c r="I52" s="34" t="str">
        <v/>
      </c>
      <c r="J52" s="34" t="str">
        <v/>
      </c>
      <c r="K52" s="34" t="str">
        <v/>
      </c>
      <c r="L52" s="34" t="str">
        <v/>
      </c>
      <c r="M52" s="34" t="str">
        <v/>
      </c>
      <c r="N52" s="34" t="str">
        <v/>
      </c>
      <c r="O52" s="34" t="str">
        <v/>
      </c>
      <c r="P52" s="34" t="str">
        <v/>
      </c>
      <c r="Q52" s="34" t="str">
        <v/>
      </c>
      <c r="R52" s="34" t="str">
        <v/>
      </c>
      <c r="S52" s="34" t="str">
        <v/>
      </c>
      <c r="T52" s="34" t="str">
        <v/>
      </c>
      <c r="U52" s="34" t="str">
        <v>SW</v>
      </c>
      <c r="V52" s="34" t="str">
        <v/>
      </c>
      <c r="W52" s="34" t="str">
        <v>-</v>
      </c>
      <c r="X52" s="34" t="str">
        <v>DCS</v>
      </c>
      <c r="Y52" s="34" t="str">
        <v>-</v>
      </c>
      <c r="Z52" s="34" t="str">
        <v>No</v>
      </c>
      <c r="AA52" s="34" t="str">
        <v>AUX</v>
      </c>
      <c r="AB52" s="34" t="str">
        <v/>
      </c>
    </row>
    <row r="53" spans="1:28" ht="72">
      <c r="A53" s="34" t="str">
        <v>CA-741762-001</v>
      </c>
      <c r="B53" s="34" t="str">
        <v>631-PIT  -0714</v>
      </c>
      <c r="C53" s="34" t="str">
        <v>631-P-0714</v>
      </c>
      <c r="D53" s="34" t="str">
        <v>FIELD</v>
      </c>
      <c r="E53" s="34" t="str">
        <v>PRESSURE INDICATING TRANSMITTER</v>
      </c>
      <c r="F53" s="34" t="str">
        <v>631-G-0119B CLS DRN PMP SEAL PR</v>
      </c>
      <c r="G53" s="34" t="str">
        <v>0</v>
      </c>
      <c r="H53" s="34" t="str">
        <v>60</v>
      </c>
      <c r="I53" s="34" t="str">
        <v>psiG</v>
      </c>
      <c r="J53" s="34" t="str">
        <v>0</v>
      </c>
      <c r="K53" s="34" t="str">
        <v>60</v>
      </c>
      <c r="L53" s="34" t="str">
        <v>psiG</v>
      </c>
      <c r="M53" s="34" t="str">
        <v/>
      </c>
      <c r="N53" s="34" t="str">
        <v/>
      </c>
      <c r="O53" s="34" t="str">
        <v/>
      </c>
      <c r="P53" s="34" t="str">
        <v/>
      </c>
      <c r="Q53" s="34" t="str">
        <v/>
      </c>
      <c r="R53" s="34" t="str">
        <v/>
      </c>
      <c r="S53" s="34" t="str">
        <v/>
      </c>
      <c r="T53" s="34" t="str">
        <v>631-G-0119B</v>
      </c>
      <c r="U53" s="34" t="str">
        <v>HART AI</v>
      </c>
      <c r="V53" s="34" t="str">
        <v>631-DCS401</v>
      </c>
      <c r="W53" s="34" t="str">
        <v>4-20mA</v>
      </c>
      <c r="X53" s="34" t="str">
        <v>DCS</v>
      </c>
      <c r="Y53" s="34" t="str">
        <v>H</v>
      </c>
      <c r="Z53" s="34" t="str">
        <v>No</v>
      </c>
      <c r="AA53" s="34" t="str">
        <v>AUX</v>
      </c>
      <c r="AB53" s="34" t="str">
        <v/>
      </c>
    </row>
    <row r="54" spans="1:28" ht="72">
      <c r="A54" s="34" t="str">
        <v>CA-741762-001</v>
      </c>
      <c r="B54" s="34" t="str">
        <v>631-PAH  -0714</v>
      </c>
      <c r="C54" s="34" t="str">
        <v>631-P-0714</v>
      </c>
      <c r="D54" s="34" t="str">
        <v>DCS</v>
      </c>
      <c r="E54" s="34" t="str">
        <v>PRESSURE ALARM HIGH</v>
      </c>
      <c r="F54" s="34" t="str">
        <v>631-G-0119B CLS DRN PMP SEAL PR HI</v>
      </c>
      <c r="G54" s="34" t="str">
        <v/>
      </c>
      <c r="H54" s="34" t="str">
        <v/>
      </c>
      <c r="I54" s="34" t="str">
        <v/>
      </c>
      <c r="J54" s="34" t="str">
        <v/>
      </c>
      <c r="K54" s="34" t="str">
        <v/>
      </c>
      <c r="L54" s="34" t="str">
        <v/>
      </c>
      <c r="M54" s="34" t="str">
        <v>40</v>
      </c>
      <c r="N54" s="34" t="str">
        <v/>
      </c>
      <c r="O54" s="34" t="str">
        <v/>
      </c>
      <c r="P54" s="34" t="str">
        <v/>
      </c>
      <c r="Q54" s="34" t="str">
        <v/>
      </c>
      <c r="R54" s="34" t="str">
        <v/>
      </c>
      <c r="S54" s="34" t="str">
        <v>psiG</v>
      </c>
      <c r="T54" s="34" t="str">
        <v/>
      </c>
      <c r="U54" s="34" t="str">
        <v>SW</v>
      </c>
      <c r="V54" s="34" t="str">
        <v/>
      </c>
      <c r="W54" s="34" t="str">
        <v>-</v>
      </c>
      <c r="X54" s="34" t="str">
        <v>DCS</v>
      </c>
      <c r="Y54" s="34" t="str">
        <v>-</v>
      </c>
      <c r="Z54" s="34" t="str">
        <v>No</v>
      </c>
      <c r="AA54" s="34" t="str">
        <v>AUX</v>
      </c>
      <c r="AB54" s="34" t="str">
        <v/>
      </c>
    </row>
    <row r="55" spans="1:28" ht="72">
      <c r="A55" s="34" t="str">
        <v>CA-741762-001</v>
      </c>
      <c r="B55" s="34" t="str">
        <v>631-PAL  -0714</v>
      </c>
      <c r="C55" s="34" t="str">
        <v>631-P-0714</v>
      </c>
      <c r="D55" s="34" t="str">
        <v>DCS</v>
      </c>
      <c r="E55" s="34" t="str">
        <v>PRESSURE ALARM LOW</v>
      </c>
      <c r="F55" s="34" t="str">
        <v>631-G-0119B CLS DRN PMP SEAL PR LO</v>
      </c>
      <c r="G55" s="34" t="str">
        <v/>
      </c>
      <c r="H55" s="34" t="str">
        <v/>
      </c>
      <c r="I55" s="34" t="str">
        <v/>
      </c>
      <c r="J55" s="34" t="str">
        <v/>
      </c>
      <c r="K55" s="34" t="str">
        <v/>
      </c>
      <c r="L55" s="34" t="str">
        <v/>
      </c>
      <c r="M55" s="34" t="str">
        <v/>
      </c>
      <c r="N55" s="34" t="str">
        <v/>
      </c>
      <c r="O55" s="34" t="str">
        <v/>
      </c>
      <c r="P55" s="34" t="str">
        <v>25</v>
      </c>
      <c r="Q55" s="34" t="str">
        <v/>
      </c>
      <c r="R55" s="34" t="str">
        <v/>
      </c>
      <c r="S55" s="34" t="str">
        <v>psiG</v>
      </c>
      <c r="T55" s="34" t="str">
        <v/>
      </c>
      <c r="U55" s="34" t="str">
        <v>SW</v>
      </c>
      <c r="V55" s="34" t="str">
        <v/>
      </c>
      <c r="W55" s="34" t="str">
        <v>-</v>
      </c>
      <c r="X55" s="34" t="str">
        <v>DCS</v>
      </c>
      <c r="Y55" s="34" t="str">
        <v>-</v>
      </c>
      <c r="Z55" s="34" t="str">
        <v>No</v>
      </c>
      <c r="AA55" s="34" t="str">
        <v>AUX</v>
      </c>
      <c r="AB55" s="34" t="str">
        <v/>
      </c>
    </row>
    <row r="56" spans="1:28" ht="60">
      <c r="A56" s="34" t="str">
        <v>CA-741762-001</v>
      </c>
      <c r="B56" s="34" t="str">
        <v>631-PI   -0733</v>
      </c>
      <c r="C56" s="34" t="str">
        <v>631-P-0733</v>
      </c>
      <c r="D56" s="34" t="str">
        <v>DCS</v>
      </c>
      <c r="E56" s="34" t="str">
        <v>DCS PRESSURE INDICATION</v>
      </c>
      <c r="F56" s="34" t="str">
        <v>631-G-0119A CLS DRN PMP SEAL PR</v>
      </c>
      <c r="G56" s="34" t="str">
        <v/>
      </c>
      <c r="H56" s="34" t="str">
        <v/>
      </c>
      <c r="I56" s="34" t="str">
        <v/>
      </c>
      <c r="J56" s="34" t="str">
        <v/>
      </c>
      <c r="K56" s="34" t="str">
        <v/>
      </c>
      <c r="L56" s="34" t="str">
        <v/>
      </c>
      <c r="M56" s="34" t="str">
        <v/>
      </c>
      <c r="N56" s="34" t="str">
        <v/>
      </c>
      <c r="O56" s="34" t="str">
        <v/>
      </c>
      <c r="P56" s="34" t="str">
        <v/>
      </c>
      <c r="Q56" s="34" t="str">
        <v/>
      </c>
      <c r="R56" s="34" t="str">
        <v/>
      </c>
      <c r="S56" s="34" t="str">
        <v/>
      </c>
      <c r="T56" s="34" t="str">
        <v/>
      </c>
      <c r="U56" s="34" t="str">
        <v>SW</v>
      </c>
      <c r="V56" s="34" t="str">
        <v/>
      </c>
      <c r="W56" s="34" t="str">
        <v>-</v>
      </c>
      <c r="X56" s="34" t="str">
        <v>DCS</v>
      </c>
      <c r="Y56" s="34" t="str">
        <v>-</v>
      </c>
      <c r="Z56" s="34" t="str">
        <v>No</v>
      </c>
      <c r="AA56" s="34" t="str">
        <v>AUX</v>
      </c>
      <c r="AB56" s="34" t="str">
        <v/>
      </c>
    </row>
    <row r="57" spans="1:28" ht="72">
      <c r="A57" s="34" t="str">
        <v>CA-741762-001</v>
      </c>
      <c r="B57" s="34" t="str">
        <v>631-PIT  -0733</v>
      </c>
      <c r="C57" s="34" t="str">
        <v>631-P-0733</v>
      </c>
      <c r="D57" s="34" t="str">
        <v>FIELD</v>
      </c>
      <c r="E57" s="34" t="str">
        <v>PRESSURE INDICATING TRANSMITTER</v>
      </c>
      <c r="F57" s="34" t="str">
        <v>631-G-0119A CLS DRN PMP SEAL PR</v>
      </c>
      <c r="G57" s="34" t="str">
        <v>0</v>
      </c>
      <c r="H57" s="34" t="str">
        <v>60</v>
      </c>
      <c r="I57" s="34" t="str">
        <v>psiG</v>
      </c>
      <c r="J57" s="34" t="str">
        <v>0</v>
      </c>
      <c r="K57" s="34" t="str">
        <v>60</v>
      </c>
      <c r="L57" s="34" t="str">
        <v>psiG</v>
      </c>
      <c r="M57" s="34" t="str">
        <v/>
      </c>
      <c r="N57" s="34" t="str">
        <v/>
      </c>
      <c r="O57" s="34" t="str">
        <v/>
      </c>
      <c r="P57" s="34" t="str">
        <v/>
      </c>
      <c r="Q57" s="34" t="str">
        <v/>
      </c>
      <c r="R57" s="34" t="str">
        <v/>
      </c>
      <c r="S57" s="34" t="str">
        <v/>
      </c>
      <c r="T57" s="34" t="str">
        <v>631-G-0119A</v>
      </c>
      <c r="U57" s="34" t="str">
        <v>HART AI</v>
      </c>
      <c r="V57" s="34" t="str">
        <v>631-DCS401</v>
      </c>
      <c r="W57" s="34" t="str">
        <v>4-20mA</v>
      </c>
      <c r="X57" s="34" t="str">
        <v>DCS</v>
      </c>
      <c r="Y57" s="34" t="str">
        <v>H</v>
      </c>
      <c r="Z57" s="34" t="str">
        <v>No</v>
      </c>
      <c r="AA57" s="34" t="str">
        <v>AUX</v>
      </c>
      <c r="AB57" s="34" t="str">
        <v/>
      </c>
    </row>
    <row r="58" spans="1:28" ht="72">
      <c r="A58" s="34" t="str">
        <v>CA-741762-001</v>
      </c>
      <c r="B58" s="34" t="str">
        <v>631-PAH  -0733</v>
      </c>
      <c r="C58" s="34" t="str">
        <v>631-P-0733</v>
      </c>
      <c r="D58" s="34" t="str">
        <v>DCS</v>
      </c>
      <c r="E58" s="34" t="str">
        <v>PRESSURE ALARM HIGH</v>
      </c>
      <c r="F58" s="34" t="str">
        <v>631-G-0119A CLS DRN PMP SEAL PR HI</v>
      </c>
      <c r="G58" s="34" t="str">
        <v/>
      </c>
      <c r="H58" s="34" t="str">
        <v/>
      </c>
      <c r="I58" s="34" t="str">
        <v/>
      </c>
      <c r="J58" s="34" t="str">
        <v/>
      </c>
      <c r="K58" s="34" t="str">
        <v/>
      </c>
      <c r="L58" s="34" t="str">
        <v/>
      </c>
      <c r="M58" s="34" t="str">
        <v>40</v>
      </c>
      <c r="N58" s="34" t="str">
        <v/>
      </c>
      <c r="O58" s="34" t="str">
        <v/>
      </c>
      <c r="P58" s="34" t="str">
        <v/>
      </c>
      <c r="Q58" s="34" t="str">
        <v/>
      </c>
      <c r="R58" s="34" t="str">
        <v/>
      </c>
      <c r="S58" s="34" t="str">
        <v>psiG</v>
      </c>
      <c r="T58" s="34" t="str">
        <v/>
      </c>
      <c r="U58" s="34" t="str">
        <v>SW</v>
      </c>
      <c r="V58" s="34" t="str">
        <v/>
      </c>
      <c r="W58" s="34" t="str">
        <v>-</v>
      </c>
      <c r="X58" s="34" t="str">
        <v>DCS</v>
      </c>
      <c r="Y58" s="34" t="str">
        <v>-</v>
      </c>
      <c r="Z58" s="34" t="str">
        <v>No</v>
      </c>
      <c r="AA58" s="34" t="str">
        <v>AUX</v>
      </c>
      <c r="AB58" s="34" t="str">
        <v/>
      </c>
    </row>
    <row r="59" spans="1:28" ht="72">
      <c r="A59" s="34" t="str">
        <v>CA-741762-001</v>
      </c>
      <c r="B59" s="34" t="str">
        <v>631-PAL  -0733</v>
      </c>
      <c r="C59" s="34" t="str">
        <v>631-P-0733</v>
      </c>
      <c r="D59" s="34" t="str">
        <v>DCS</v>
      </c>
      <c r="E59" s="34" t="str">
        <v>PRESSURE ALARM LOW</v>
      </c>
      <c r="F59" s="34" t="str">
        <v>631-G-0119A CLS DRN PMP SEAL PR LO</v>
      </c>
      <c r="G59" s="34" t="str">
        <v/>
      </c>
      <c r="H59" s="34" t="str">
        <v/>
      </c>
      <c r="I59" s="34" t="str">
        <v/>
      </c>
      <c r="J59" s="34" t="str">
        <v/>
      </c>
      <c r="K59" s="34" t="str">
        <v/>
      </c>
      <c r="L59" s="34" t="str">
        <v/>
      </c>
      <c r="M59" s="34" t="str">
        <v/>
      </c>
      <c r="N59" s="34" t="str">
        <v/>
      </c>
      <c r="O59" s="34" t="str">
        <v/>
      </c>
      <c r="P59" s="34" t="str">
        <v>25</v>
      </c>
      <c r="Q59" s="34" t="str">
        <v/>
      </c>
      <c r="R59" s="34" t="str">
        <v/>
      </c>
      <c r="S59" s="34" t="str">
        <v>psiG</v>
      </c>
      <c r="T59" s="34" t="str">
        <v/>
      </c>
      <c r="U59" s="34" t="str">
        <v>SW</v>
      </c>
      <c r="V59" s="34" t="str">
        <v/>
      </c>
      <c r="W59" s="34" t="str">
        <v>-</v>
      </c>
      <c r="X59" s="34" t="str">
        <v>DCS</v>
      </c>
      <c r="Y59" s="34" t="str">
        <v>-</v>
      </c>
      <c r="Z59" s="34" t="str">
        <v>No</v>
      </c>
      <c r="AA59" s="34" t="str">
        <v>AUX</v>
      </c>
      <c r="AB59" s="34" t="str">
        <v/>
      </c>
    </row>
    <row r="60" spans="1:28" ht="60">
      <c r="A60" s="34" t="str">
        <v>CA-741762-001</v>
      </c>
      <c r="B60" s="34" t="str">
        <v>631-PI   -0734</v>
      </c>
      <c r="C60" s="34" t="str">
        <v>631-P-0734</v>
      </c>
      <c r="D60" s="34" t="str">
        <v>DCS</v>
      </c>
      <c r="E60" s="34" t="str">
        <v>DCS PRESSURE INDICATION</v>
      </c>
      <c r="F60" s="34" t="str">
        <v>631-G-0119B CLS DRN PMP SEAL PR</v>
      </c>
      <c r="G60" s="34" t="str">
        <v/>
      </c>
      <c r="H60" s="34" t="str">
        <v/>
      </c>
      <c r="I60" s="34" t="str">
        <v/>
      </c>
      <c r="J60" s="34" t="str">
        <v/>
      </c>
      <c r="K60" s="34" t="str">
        <v/>
      </c>
      <c r="L60" s="34" t="str">
        <v/>
      </c>
      <c r="M60" s="34" t="str">
        <v/>
      </c>
      <c r="N60" s="34" t="str">
        <v/>
      </c>
      <c r="O60" s="34" t="str">
        <v/>
      </c>
      <c r="P60" s="34" t="str">
        <v/>
      </c>
      <c r="Q60" s="34" t="str">
        <v/>
      </c>
      <c r="R60" s="34" t="str">
        <v/>
      </c>
      <c r="S60" s="34" t="str">
        <v/>
      </c>
      <c r="T60" s="34" t="str">
        <v/>
      </c>
      <c r="U60" s="34" t="str">
        <v>SW</v>
      </c>
      <c r="V60" s="34" t="str">
        <v/>
      </c>
      <c r="W60" s="34" t="str">
        <v>-</v>
      </c>
      <c r="X60" s="34" t="str">
        <v>DCS</v>
      </c>
      <c r="Y60" s="34" t="str">
        <v>-</v>
      </c>
      <c r="Z60" s="34" t="str">
        <v>No</v>
      </c>
      <c r="AA60" s="34" t="str">
        <v>AUX</v>
      </c>
      <c r="AB60" s="34" t="str">
        <v/>
      </c>
    </row>
    <row r="61" spans="1:28" ht="72">
      <c r="A61" s="34" t="str">
        <v>CA-741762-001</v>
      </c>
      <c r="B61" s="34" t="str">
        <v>631-PIT  -0734</v>
      </c>
      <c r="C61" s="34" t="str">
        <v>631-P-0734</v>
      </c>
      <c r="D61" s="34" t="str">
        <v>FIELD</v>
      </c>
      <c r="E61" s="34" t="str">
        <v>PRESSURE INDICATING TRANSMITTER</v>
      </c>
      <c r="F61" s="34" t="str">
        <v>631-G-0119B CLS DRN PMP SEAL PR</v>
      </c>
      <c r="G61" s="34" t="str">
        <v>0</v>
      </c>
      <c r="H61" s="34" t="str">
        <v>60</v>
      </c>
      <c r="I61" s="34" t="str">
        <v>psiG</v>
      </c>
      <c r="J61" s="34" t="str">
        <v>0</v>
      </c>
      <c r="K61" s="34" t="str">
        <v>60</v>
      </c>
      <c r="L61" s="34" t="str">
        <v>psiG</v>
      </c>
      <c r="M61" s="34" t="str">
        <v/>
      </c>
      <c r="N61" s="34" t="str">
        <v/>
      </c>
      <c r="O61" s="34" t="str">
        <v/>
      </c>
      <c r="P61" s="34" t="str">
        <v/>
      </c>
      <c r="Q61" s="34" t="str">
        <v/>
      </c>
      <c r="R61" s="34" t="str">
        <v/>
      </c>
      <c r="S61" s="34" t="str">
        <v/>
      </c>
      <c r="T61" s="34" t="str">
        <v>631-G-0119B</v>
      </c>
      <c r="U61" s="34" t="str">
        <v>HART AI</v>
      </c>
      <c r="V61" s="34" t="str">
        <v>631-DCS401</v>
      </c>
      <c r="W61" s="34" t="str">
        <v>4-20mA</v>
      </c>
      <c r="X61" s="34" t="str">
        <v>DCS</v>
      </c>
      <c r="Y61" s="34" t="str">
        <v>H</v>
      </c>
      <c r="Z61" s="34" t="str">
        <v>No</v>
      </c>
      <c r="AA61" s="34" t="str">
        <v>AUX</v>
      </c>
      <c r="AB61" s="34" t="str">
        <v/>
      </c>
    </row>
    <row r="62" spans="1:28" ht="72">
      <c r="A62" s="34" t="str">
        <v>CA-741762-001</v>
      </c>
      <c r="B62" s="34" t="str">
        <v>631-PAH  -0734</v>
      </c>
      <c r="C62" s="34" t="str">
        <v>631-P-0734</v>
      </c>
      <c r="D62" s="34" t="str">
        <v>DCS</v>
      </c>
      <c r="E62" s="34" t="str">
        <v>PRESSURE ALARM HIGH</v>
      </c>
      <c r="F62" s="34" t="str">
        <v>631-G-0119B CLS DRN PMP SEAL PR HI</v>
      </c>
      <c r="G62" s="34" t="str">
        <v/>
      </c>
      <c r="H62" s="34" t="str">
        <v/>
      </c>
      <c r="I62" s="34" t="str">
        <v/>
      </c>
      <c r="J62" s="34" t="str">
        <v/>
      </c>
      <c r="K62" s="34" t="str">
        <v/>
      </c>
      <c r="L62" s="34" t="str">
        <v/>
      </c>
      <c r="M62" s="34" t="str">
        <v>40</v>
      </c>
      <c r="N62" s="34" t="str">
        <v/>
      </c>
      <c r="O62" s="34" t="str">
        <v/>
      </c>
      <c r="P62" s="34" t="str">
        <v/>
      </c>
      <c r="Q62" s="34" t="str">
        <v/>
      </c>
      <c r="R62" s="34" t="str">
        <v/>
      </c>
      <c r="S62" s="34" t="str">
        <v>psiG</v>
      </c>
      <c r="T62" s="34" t="str">
        <v/>
      </c>
      <c r="U62" s="34" t="str">
        <v>SW</v>
      </c>
      <c r="V62" s="34" t="str">
        <v/>
      </c>
      <c r="W62" s="34" t="str">
        <v>-</v>
      </c>
      <c r="X62" s="34" t="str">
        <v>DCS</v>
      </c>
      <c r="Y62" s="34" t="str">
        <v>-</v>
      </c>
      <c r="Z62" s="34" t="str">
        <v>No</v>
      </c>
      <c r="AA62" s="34" t="str">
        <v>AUX</v>
      </c>
      <c r="AB62" s="34" t="str">
        <v/>
      </c>
    </row>
    <row r="63" spans="1:28" ht="72">
      <c r="A63" s="34" t="str">
        <v>CA-741762-001</v>
      </c>
      <c r="B63" s="34" t="str">
        <v>631-PAL  -0734</v>
      </c>
      <c r="C63" s="34" t="str">
        <v>631-P-0734</v>
      </c>
      <c r="D63" s="34" t="str">
        <v>DCS</v>
      </c>
      <c r="E63" s="34" t="str">
        <v>PRESSURE ALARM LOW</v>
      </c>
      <c r="F63" s="34" t="str">
        <v>631-G-0119B CLS DRN PMP SEAL PR LO</v>
      </c>
      <c r="G63" s="34" t="str">
        <v/>
      </c>
      <c r="H63" s="34" t="str">
        <v/>
      </c>
      <c r="I63" s="34" t="str">
        <v/>
      </c>
      <c r="J63" s="34" t="str">
        <v/>
      </c>
      <c r="K63" s="34" t="str">
        <v/>
      </c>
      <c r="L63" s="34" t="str">
        <v/>
      </c>
      <c r="M63" s="34" t="str">
        <v/>
      </c>
      <c r="N63" s="34" t="str">
        <v/>
      </c>
      <c r="O63" s="34" t="str">
        <v/>
      </c>
      <c r="P63" s="34" t="str">
        <v>25</v>
      </c>
      <c r="Q63" s="34" t="str">
        <v/>
      </c>
      <c r="R63" s="34" t="str">
        <v/>
      </c>
      <c r="S63" s="34" t="str">
        <v>psiG</v>
      </c>
      <c r="T63" s="34" t="str">
        <v/>
      </c>
      <c r="U63" s="34" t="str">
        <v>SW</v>
      </c>
      <c r="V63" s="34" t="str">
        <v/>
      </c>
      <c r="W63" s="34" t="str">
        <v>-</v>
      </c>
      <c r="X63" s="34" t="str">
        <v>DCS</v>
      </c>
      <c r="Y63" s="34" t="str">
        <v>-</v>
      </c>
      <c r="Z63" s="34" t="str">
        <v>No</v>
      </c>
      <c r="AA63" s="34" t="str">
        <v>AUX</v>
      </c>
      <c r="AB63" s="34" t="str">
        <v/>
      </c>
    </row>
    <row r="64" spans="1:28" ht="72">
      <c r="A64" s="34" t="str">
        <v>CA-741762-001</v>
      </c>
      <c r="B64" s="34" t="str">
        <v>631-TIT  -0713</v>
      </c>
      <c r="C64" s="34" t="str">
        <v>631-T-0713</v>
      </c>
      <c r="D64" s="34" t="str">
        <v>FIELD</v>
      </c>
      <c r="E64" s="34" t="str">
        <v>TEMPERATURE INDICATING TRANSMITTER</v>
      </c>
      <c r="F64" s="34" t="str">
        <v>631-G-0119A CLS DRN PMP SEAL TEMP</v>
      </c>
      <c r="G64" s="34">
        <v>0</v>
      </c>
      <c r="H64" s="34">
        <v>250</v>
      </c>
      <c r="I64" s="34" t="str">
        <v>°F</v>
      </c>
      <c r="J64" s="34">
        <v>0</v>
      </c>
      <c r="K64" s="34">
        <v>250</v>
      </c>
      <c r="L64" s="34" t="str">
        <v>°F</v>
      </c>
      <c r="M64" s="34" t="str">
        <v/>
      </c>
      <c r="N64" s="34" t="str">
        <v/>
      </c>
      <c r="O64" s="34" t="str">
        <v/>
      </c>
      <c r="P64" s="34" t="str">
        <v/>
      </c>
      <c r="Q64" s="34" t="str">
        <v/>
      </c>
      <c r="R64" s="34" t="str">
        <v/>
      </c>
      <c r="S64" s="34" t="str">
        <v/>
      </c>
      <c r="T64" s="34" t="str">
        <v>631-G-0119A</v>
      </c>
      <c r="U64" s="34" t="str">
        <v>HART AI</v>
      </c>
      <c r="V64" s="34" t="str">
        <v>631-DCS401</v>
      </c>
      <c r="W64" s="34" t="str">
        <v>4-20mA</v>
      </c>
      <c r="X64" s="34" t="str">
        <v>DCS</v>
      </c>
      <c r="Y64" s="34" t="str">
        <v>H</v>
      </c>
      <c r="Z64" s="34" t="str">
        <v>No</v>
      </c>
      <c r="AA64" s="34" t="str">
        <v>AUX</v>
      </c>
      <c r="AB64" s="34" t="str">
        <v>Rev 00d</v>
      </c>
    </row>
    <row r="65" spans="1:28" ht="72">
      <c r="A65" s="34" t="str">
        <v>CA-741762-001</v>
      </c>
      <c r="B65" s="34" t="str">
        <v>631-TI   -0713</v>
      </c>
      <c r="C65" s="34" t="str">
        <v>631-T-0713</v>
      </c>
      <c r="D65" s="34" t="str">
        <v>DCS</v>
      </c>
      <c r="E65" s="34" t="str">
        <v>DCS TEMPERATURE INDICATION</v>
      </c>
      <c r="F65" s="34" t="str">
        <v>631-G-0119A CLS DRN PMP SEAL TEMP</v>
      </c>
      <c r="G65" s="34" t="str">
        <v/>
      </c>
      <c r="H65" s="34" t="str">
        <v/>
      </c>
      <c r="I65" s="34" t="str">
        <v/>
      </c>
      <c r="J65" s="34" t="str">
        <v/>
      </c>
      <c r="K65" s="34" t="str">
        <v/>
      </c>
      <c r="L65" s="34" t="str">
        <v/>
      </c>
      <c r="M65" s="34" t="str">
        <v/>
      </c>
      <c r="N65" s="34" t="str">
        <v/>
      </c>
      <c r="O65" s="34" t="str">
        <v/>
      </c>
      <c r="P65" s="34" t="str">
        <v/>
      </c>
      <c r="Q65" s="34" t="str">
        <v/>
      </c>
      <c r="R65" s="34" t="str">
        <v/>
      </c>
      <c r="S65" s="34" t="str">
        <v/>
      </c>
      <c r="T65" s="34" t="str">
        <v/>
      </c>
      <c r="U65" s="34" t="str">
        <v>SW</v>
      </c>
      <c r="V65" s="34" t="str">
        <v/>
      </c>
      <c r="W65" s="34" t="str">
        <v>-</v>
      </c>
      <c r="X65" s="34" t="str">
        <v>DCS</v>
      </c>
      <c r="Y65" s="34" t="str">
        <v>-</v>
      </c>
      <c r="Z65" s="34" t="str">
        <v>No</v>
      </c>
      <c r="AA65" s="34" t="str">
        <v>AUX</v>
      </c>
      <c r="AB65" s="34" t="str">
        <v/>
      </c>
    </row>
    <row r="66" spans="1:28" ht="72">
      <c r="A66" s="34" t="str">
        <v>CA-741762-001</v>
      </c>
      <c r="B66" s="34" t="str">
        <v>631-TAH  -0713A</v>
      </c>
      <c r="C66" s="34" t="str">
        <v>631-T-0713</v>
      </c>
      <c r="D66" s="34" t="str">
        <v>DCS</v>
      </c>
      <c r="E66" s="34" t="str">
        <v>TEMPERATURE ALARM HIGH</v>
      </c>
      <c r="F66" s="34" t="str">
        <v>631-G-0119A CLS DRN PMP SEAL TEMP HI</v>
      </c>
      <c r="G66" s="34" t="str">
        <v/>
      </c>
      <c r="H66" s="34" t="str">
        <v/>
      </c>
      <c r="I66" s="34" t="str">
        <v/>
      </c>
      <c r="J66" s="34" t="str">
        <v/>
      </c>
      <c r="K66" s="34" t="str">
        <v/>
      </c>
      <c r="L66" s="34" t="str">
        <v/>
      </c>
      <c r="M66" s="34" t="str">
        <v>185</v>
      </c>
      <c r="N66" s="34" t="str">
        <v/>
      </c>
      <c r="O66" s="34" t="str">
        <v/>
      </c>
      <c r="P66" s="34" t="str">
        <v/>
      </c>
      <c r="Q66" s="34" t="str">
        <v/>
      </c>
      <c r="R66" s="34" t="str">
        <v/>
      </c>
      <c r="S66" s="34" t="str">
        <v>°F</v>
      </c>
      <c r="T66" s="34" t="str">
        <v/>
      </c>
      <c r="U66" s="34" t="str">
        <v>SW</v>
      </c>
      <c r="V66" s="34" t="str">
        <v/>
      </c>
      <c r="W66" s="34" t="str">
        <v>-</v>
      </c>
      <c r="X66" s="34" t="str">
        <v>DCS</v>
      </c>
      <c r="Y66" s="34" t="str">
        <v>-</v>
      </c>
      <c r="Z66" s="34" t="str">
        <v>No</v>
      </c>
      <c r="AA66" s="34" t="str">
        <v>AUX</v>
      </c>
      <c r="AB66" s="34" t="str">
        <v/>
      </c>
    </row>
    <row r="67" spans="1:28" ht="72">
      <c r="A67" s="34" t="str">
        <v>CA-741762-001</v>
      </c>
      <c r="B67" s="34" t="str">
        <v>631-TAH  -0713B</v>
      </c>
      <c r="C67" s="34" t="str">
        <v>631-T-0713</v>
      </c>
      <c r="D67" s="34" t="str">
        <v>DCS</v>
      </c>
      <c r="E67" s="34" t="str">
        <v>TEMPERATURE ALARM HIGH</v>
      </c>
      <c r="F67" s="34" t="str">
        <v>631-G-0119A CLS DRN PMP SEAL TEMP HI</v>
      </c>
      <c r="G67" s="34" t="str">
        <v/>
      </c>
      <c r="H67" s="34" t="str">
        <v/>
      </c>
      <c r="I67" s="34" t="str">
        <v/>
      </c>
      <c r="J67" s="34" t="str">
        <v/>
      </c>
      <c r="K67" s="34" t="str">
        <v/>
      </c>
      <c r="L67" s="34" t="str">
        <v/>
      </c>
      <c r="M67" s="34" t="str">
        <v>203</v>
      </c>
      <c r="N67" s="34" t="str">
        <v/>
      </c>
      <c r="O67" s="34" t="str">
        <v/>
      </c>
      <c r="P67" s="34" t="str">
        <v/>
      </c>
      <c r="Q67" s="34" t="str">
        <v/>
      </c>
      <c r="R67" s="34" t="str">
        <v/>
      </c>
      <c r="S67" s="34" t="str">
        <v>°F</v>
      </c>
      <c r="T67" s="34" t="str">
        <v/>
      </c>
      <c r="U67" s="34" t="str">
        <v>SW</v>
      </c>
      <c r="V67" s="34" t="str">
        <v/>
      </c>
      <c r="W67" s="34" t="str">
        <v>-</v>
      </c>
      <c r="X67" s="34" t="str">
        <v>DCS</v>
      </c>
      <c r="Y67" s="34" t="str">
        <v>-</v>
      </c>
      <c r="Z67" s="34" t="str">
        <v>No</v>
      </c>
      <c r="AA67" s="34" t="str">
        <v>AUX</v>
      </c>
      <c r="AB67" s="34" t="str">
        <v/>
      </c>
    </row>
    <row r="68" spans="1:28" ht="72">
      <c r="A68" s="34" t="str">
        <v>CA-741762-001</v>
      </c>
      <c r="B68" s="34" t="str">
        <v>631-TIT  -0714</v>
      </c>
      <c r="C68" s="34" t="str">
        <v>631-T-0714</v>
      </c>
      <c r="D68" s="34" t="str">
        <v>FIELD</v>
      </c>
      <c r="E68" s="34" t="str">
        <v>TEMPERATURE INDICATING TRANSMITTER</v>
      </c>
      <c r="F68" s="34" t="str">
        <v>631-G-0119B CLS DRN PMP SEAL TEMP</v>
      </c>
      <c r="G68" s="34">
        <v>0</v>
      </c>
      <c r="H68" s="34">
        <v>250</v>
      </c>
      <c r="I68" s="34" t="str">
        <v>°F</v>
      </c>
      <c r="J68" s="34">
        <v>0</v>
      </c>
      <c r="K68" s="34">
        <v>250</v>
      </c>
      <c r="L68" s="34" t="str">
        <v>°F</v>
      </c>
      <c r="M68" s="34" t="str">
        <v/>
      </c>
      <c r="N68" s="34" t="str">
        <v/>
      </c>
      <c r="O68" s="34" t="str">
        <v/>
      </c>
      <c r="P68" s="34" t="str">
        <v/>
      </c>
      <c r="Q68" s="34" t="str">
        <v/>
      </c>
      <c r="R68" s="34" t="str">
        <v/>
      </c>
      <c r="S68" s="34" t="str">
        <v/>
      </c>
      <c r="T68" s="34" t="str">
        <v>631-G-0119B</v>
      </c>
      <c r="U68" s="34" t="str">
        <v>HART AI</v>
      </c>
      <c r="V68" s="34" t="str">
        <v>631-DCS401</v>
      </c>
      <c r="W68" s="34" t="str">
        <v>4-20mA</v>
      </c>
      <c r="X68" s="34" t="str">
        <v>DCS</v>
      </c>
      <c r="Y68" s="34" t="str">
        <v>H</v>
      </c>
      <c r="Z68" s="34" t="str">
        <v>No</v>
      </c>
      <c r="AA68" s="34" t="str">
        <v>AUX</v>
      </c>
      <c r="AB68" s="34" t="str">
        <v>Rev 00d</v>
      </c>
    </row>
    <row r="69" spans="1:28" ht="72">
      <c r="A69" s="34" t="str">
        <v>CA-741762-001</v>
      </c>
      <c r="B69" s="34" t="str">
        <v>631-TI   -0714</v>
      </c>
      <c r="C69" s="34" t="str">
        <v>631-T-0714</v>
      </c>
      <c r="D69" s="34" t="str">
        <v>DCS</v>
      </c>
      <c r="E69" s="34" t="str">
        <v>DCS TEMPERATURE INDICATION</v>
      </c>
      <c r="F69" s="34" t="str">
        <v>631-G-0119B CLS DRN PMP SEAL TEMP</v>
      </c>
      <c r="G69" s="34" t="str">
        <v/>
      </c>
      <c r="H69" s="34" t="str">
        <v/>
      </c>
      <c r="I69" s="34" t="str">
        <v/>
      </c>
      <c r="J69" s="34" t="str">
        <v/>
      </c>
      <c r="K69" s="34" t="str">
        <v/>
      </c>
      <c r="L69" s="34" t="str">
        <v/>
      </c>
      <c r="M69" s="34" t="str">
        <v/>
      </c>
      <c r="N69" s="34" t="str">
        <v/>
      </c>
      <c r="O69" s="34" t="str">
        <v/>
      </c>
      <c r="P69" s="34" t="str">
        <v/>
      </c>
      <c r="Q69" s="34" t="str">
        <v/>
      </c>
      <c r="R69" s="34" t="str">
        <v/>
      </c>
      <c r="S69" s="34" t="str">
        <v/>
      </c>
      <c r="T69" s="34" t="str">
        <v/>
      </c>
      <c r="U69" s="34" t="str">
        <v>SW</v>
      </c>
      <c r="V69" s="34" t="str">
        <v/>
      </c>
      <c r="W69" s="34" t="str">
        <v>-</v>
      </c>
      <c r="X69" s="34" t="str">
        <v>DCS</v>
      </c>
      <c r="Y69" s="34" t="str">
        <v>-</v>
      </c>
      <c r="Z69" s="34" t="str">
        <v>No</v>
      </c>
      <c r="AA69" s="34" t="str">
        <v>AUX</v>
      </c>
      <c r="AB69" s="34" t="str">
        <v/>
      </c>
    </row>
    <row r="70" spans="1:28" ht="72">
      <c r="A70" s="34" t="str">
        <v>CA-741762-001</v>
      </c>
      <c r="B70" s="34" t="str">
        <v>631-TAH  -0714A</v>
      </c>
      <c r="C70" s="34" t="str">
        <v>631-T-0714</v>
      </c>
      <c r="D70" s="34" t="str">
        <v>DCS</v>
      </c>
      <c r="E70" s="34" t="str">
        <v>TEMPERATURE ALARM HIGH</v>
      </c>
      <c r="F70" s="34" t="str">
        <v>631-G-0119B CLS DRN PMP SEAL TEMP HI</v>
      </c>
      <c r="G70" s="34" t="str">
        <v/>
      </c>
      <c r="H70" s="34" t="str">
        <v/>
      </c>
      <c r="I70" s="34" t="str">
        <v/>
      </c>
      <c r="J70" s="34" t="str">
        <v/>
      </c>
      <c r="K70" s="34" t="str">
        <v/>
      </c>
      <c r="L70" s="34" t="str">
        <v/>
      </c>
      <c r="M70" s="34" t="str">
        <v>185</v>
      </c>
      <c r="N70" s="34" t="str">
        <v/>
      </c>
      <c r="O70" s="34" t="str">
        <v/>
      </c>
      <c r="P70" s="34" t="str">
        <v/>
      </c>
      <c r="Q70" s="34" t="str">
        <v/>
      </c>
      <c r="R70" s="34" t="str">
        <v/>
      </c>
      <c r="S70" s="34" t="str">
        <v>°F</v>
      </c>
      <c r="T70" s="34" t="str">
        <v/>
      </c>
      <c r="U70" s="34" t="str">
        <v>SW</v>
      </c>
      <c r="V70" s="34" t="str">
        <v/>
      </c>
      <c r="W70" s="34" t="str">
        <v>-</v>
      </c>
      <c r="X70" s="34" t="str">
        <v>DCS</v>
      </c>
      <c r="Y70" s="34" t="str">
        <v>-</v>
      </c>
      <c r="Z70" s="34" t="str">
        <v>No</v>
      </c>
      <c r="AA70" s="34" t="str">
        <v>AUX</v>
      </c>
      <c r="AB70" s="34" t="str">
        <v/>
      </c>
    </row>
    <row r="71" spans="1:28" ht="72">
      <c r="A71" s="34" t="str">
        <v>CA-741762-001</v>
      </c>
      <c r="B71" s="34" t="str">
        <v>631-TAH  -0714B</v>
      </c>
      <c r="C71" s="34" t="str">
        <v>631-T-0714</v>
      </c>
      <c r="D71" s="34" t="str">
        <v>DCS</v>
      </c>
      <c r="E71" s="34" t="str">
        <v>TEMPERATURE ALARM HIGH</v>
      </c>
      <c r="F71" s="34" t="str">
        <v>631-G-0119B CLS DRN PMP SEAL TEMP HI</v>
      </c>
      <c r="G71" s="34" t="str">
        <v/>
      </c>
      <c r="H71" s="34" t="str">
        <v/>
      </c>
      <c r="I71" s="34" t="str">
        <v/>
      </c>
      <c r="J71" s="34" t="str">
        <v/>
      </c>
      <c r="K71" s="34" t="str">
        <v/>
      </c>
      <c r="L71" s="34" t="str">
        <v/>
      </c>
      <c r="M71" s="34" t="str">
        <v>203</v>
      </c>
      <c r="N71" s="34" t="str">
        <v/>
      </c>
      <c r="O71" s="34" t="str">
        <v/>
      </c>
      <c r="P71" s="34" t="str">
        <v/>
      </c>
      <c r="Q71" s="34" t="str">
        <v/>
      </c>
      <c r="R71" s="34" t="str">
        <v/>
      </c>
      <c r="S71" s="34" t="str">
        <v>°F</v>
      </c>
      <c r="T71" s="34" t="str">
        <v/>
      </c>
      <c r="U71" s="34" t="str">
        <v>SW</v>
      </c>
      <c r="V71" s="34" t="str">
        <v/>
      </c>
      <c r="W71" s="34" t="str">
        <v>-</v>
      </c>
      <c r="X71" s="34" t="str">
        <v>DCS</v>
      </c>
      <c r="Y71" s="34" t="str">
        <v>-</v>
      </c>
      <c r="Z71" s="34" t="str">
        <v>No</v>
      </c>
      <c r="AA71" s="34" t="str">
        <v>AUX</v>
      </c>
      <c r="AB71" s="34" t="str">
        <v/>
      </c>
    </row>
    <row r="72" spans="1:28" ht="72">
      <c r="A72" s="34" t="str">
        <v>CA-741762-001</v>
      </c>
      <c r="B72" s="34" t="str">
        <v>631-TIT  -0733</v>
      </c>
      <c r="C72" s="34" t="str">
        <v>631-T-0733</v>
      </c>
      <c r="D72" s="34" t="str">
        <v>FIELD</v>
      </c>
      <c r="E72" s="34" t="str">
        <v>TEMPERATURE INDICATING TRANSMITTER</v>
      </c>
      <c r="F72" s="34" t="str">
        <v>631-G-0119A CLS DRN PMP SEAL TEMP</v>
      </c>
      <c r="G72" s="34">
        <v>0</v>
      </c>
      <c r="H72" s="34">
        <v>250</v>
      </c>
      <c r="I72" s="34" t="str">
        <v>°F</v>
      </c>
      <c r="J72" s="34">
        <v>0</v>
      </c>
      <c r="K72" s="34">
        <v>250</v>
      </c>
      <c r="L72" s="34" t="str">
        <v>°F</v>
      </c>
      <c r="M72" s="34" t="str">
        <v/>
      </c>
      <c r="N72" s="34" t="str">
        <v/>
      </c>
      <c r="O72" s="34" t="str">
        <v/>
      </c>
      <c r="P72" s="34" t="str">
        <v/>
      </c>
      <c r="Q72" s="34" t="str">
        <v/>
      </c>
      <c r="R72" s="34" t="str">
        <v/>
      </c>
      <c r="S72" s="34" t="str">
        <v/>
      </c>
      <c r="T72" s="34" t="str">
        <v>631-G-0119A</v>
      </c>
      <c r="U72" s="34" t="str">
        <v>HART AI</v>
      </c>
      <c r="V72" s="34" t="str">
        <v>631-DCS401</v>
      </c>
      <c r="W72" s="34" t="str">
        <v>4-20mA</v>
      </c>
      <c r="X72" s="34" t="str">
        <v>DCS</v>
      </c>
      <c r="Y72" s="34" t="str">
        <v>H</v>
      </c>
      <c r="Z72" s="34" t="str">
        <v>No</v>
      </c>
      <c r="AA72" s="34" t="str">
        <v>AUX</v>
      </c>
      <c r="AB72" s="34" t="str">
        <v>Rev 00d</v>
      </c>
    </row>
    <row r="73" spans="1:28" ht="72">
      <c r="A73" s="34" t="str">
        <v>CA-741762-001</v>
      </c>
      <c r="B73" s="34" t="str">
        <v>631-TI   -0733</v>
      </c>
      <c r="C73" s="34" t="str">
        <v>631-T-0733</v>
      </c>
      <c r="D73" s="34" t="str">
        <v>DCS</v>
      </c>
      <c r="E73" s="34" t="str">
        <v>DCS TEMPERATURE INDICATION</v>
      </c>
      <c r="F73" s="34" t="str">
        <v>631-G-0119A CLS DRN PMP SEAL TEMP</v>
      </c>
      <c r="G73" s="34" t="str">
        <v/>
      </c>
      <c r="H73" s="34" t="str">
        <v/>
      </c>
      <c r="I73" s="34" t="str">
        <v/>
      </c>
      <c r="J73" s="34" t="str">
        <v/>
      </c>
      <c r="K73" s="34" t="str">
        <v/>
      </c>
      <c r="L73" s="34" t="str">
        <v/>
      </c>
      <c r="M73" s="34" t="str">
        <v/>
      </c>
      <c r="N73" s="34" t="str">
        <v/>
      </c>
      <c r="O73" s="34" t="str">
        <v/>
      </c>
      <c r="P73" s="34" t="str">
        <v/>
      </c>
      <c r="Q73" s="34" t="str">
        <v/>
      </c>
      <c r="R73" s="34" t="str">
        <v/>
      </c>
      <c r="S73" s="34" t="str">
        <v/>
      </c>
      <c r="T73" s="34" t="str">
        <v/>
      </c>
      <c r="U73" s="34" t="str">
        <v>SW</v>
      </c>
      <c r="V73" s="34" t="str">
        <v/>
      </c>
      <c r="W73" s="34" t="str">
        <v>-</v>
      </c>
      <c r="X73" s="34" t="str">
        <v>DCS</v>
      </c>
      <c r="Y73" s="34" t="str">
        <v>-</v>
      </c>
      <c r="Z73" s="34" t="str">
        <v>No</v>
      </c>
      <c r="AA73" s="34" t="str">
        <v>AUX</v>
      </c>
      <c r="AB73" s="34" t="str">
        <v/>
      </c>
    </row>
    <row r="74" spans="1:28" ht="72">
      <c r="A74" s="34" t="str">
        <v>CA-741762-001</v>
      </c>
      <c r="B74" s="34" t="str">
        <v>631-TAH  -0733A</v>
      </c>
      <c r="C74" s="34" t="str">
        <v>631-T-0733</v>
      </c>
      <c r="D74" s="34" t="str">
        <v>DCS</v>
      </c>
      <c r="E74" s="34" t="str">
        <v>TEMPERATURE ALARM HIGH</v>
      </c>
      <c r="F74" s="34" t="str">
        <v>631-G-0119A CLS DRN PMP SEAL TEMP HI</v>
      </c>
      <c r="G74" s="34" t="str">
        <v/>
      </c>
      <c r="H74" s="34" t="str">
        <v/>
      </c>
      <c r="I74" s="34" t="str">
        <v/>
      </c>
      <c r="J74" s="34" t="str">
        <v/>
      </c>
      <c r="K74" s="34" t="str">
        <v/>
      </c>
      <c r="L74" s="34" t="str">
        <v/>
      </c>
      <c r="M74" s="34" t="str">
        <v>185</v>
      </c>
      <c r="N74" s="34" t="str">
        <v/>
      </c>
      <c r="O74" s="34" t="str">
        <v/>
      </c>
      <c r="P74" s="34" t="str">
        <v/>
      </c>
      <c r="Q74" s="34" t="str">
        <v/>
      </c>
      <c r="R74" s="34" t="str">
        <v/>
      </c>
      <c r="S74" s="34" t="str">
        <v>°F</v>
      </c>
      <c r="T74" s="34" t="str">
        <v/>
      </c>
      <c r="U74" s="34" t="str">
        <v>SW</v>
      </c>
      <c r="V74" s="34" t="str">
        <v/>
      </c>
      <c r="W74" s="34" t="str">
        <v>-</v>
      </c>
      <c r="X74" s="34" t="str">
        <v>DCS</v>
      </c>
      <c r="Y74" s="34" t="str">
        <v>-</v>
      </c>
      <c r="Z74" s="34" t="str">
        <v>No</v>
      </c>
      <c r="AA74" s="34" t="str">
        <v>AUX</v>
      </c>
      <c r="AB74" s="34" t="str">
        <v/>
      </c>
    </row>
    <row r="75" spans="1:28" ht="72">
      <c r="A75" s="34" t="str">
        <v>CA-741762-001</v>
      </c>
      <c r="B75" s="34" t="str">
        <v>631-TAH  -0733B</v>
      </c>
      <c r="C75" s="34" t="str">
        <v>631-T-0733</v>
      </c>
      <c r="D75" s="34" t="str">
        <v>DCS</v>
      </c>
      <c r="E75" s="34" t="str">
        <v>TEMPERATURE ALARM HIGH</v>
      </c>
      <c r="F75" s="34" t="str">
        <v>631-G-0119A CLS DRN PMP SEAL TEMP HI</v>
      </c>
      <c r="G75" s="34" t="str">
        <v/>
      </c>
      <c r="H75" s="34" t="str">
        <v/>
      </c>
      <c r="I75" s="34" t="str">
        <v/>
      </c>
      <c r="J75" s="34" t="str">
        <v/>
      </c>
      <c r="K75" s="34" t="str">
        <v/>
      </c>
      <c r="L75" s="34" t="str">
        <v/>
      </c>
      <c r="M75" s="34" t="str">
        <v>203</v>
      </c>
      <c r="N75" s="34" t="str">
        <v/>
      </c>
      <c r="O75" s="34" t="str">
        <v/>
      </c>
      <c r="P75" s="34" t="str">
        <v/>
      </c>
      <c r="Q75" s="34" t="str">
        <v/>
      </c>
      <c r="R75" s="34" t="str">
        <v/>
      </c>
      <c r="S75" s="34" t="str">
        <v>°F</v>
      </c>
      <c r="T75" s="34" t="str">
        <v/>
      </c>
      <c r="U75" s="34" t="str">
        <v>SW</v>
      </c>
      <c r="V75" s="34" t="str">
        <v/>
      </c>
      <c r="W75" s="34" t="str">
        <v>-</v>
      </c>
      <c r="X75" s="34" t="str">
        <v>DCS</v>
      </c>
      <c r="Y75" s="34" t="str">
        <v>-</v>
      </c>
      <c r="Z75" s="34" t="str">
        <v>No</v>
      </c>
      <c r="AA75" s="34" t="str">
        <v>AUX</v>
      </c>
      <c r="AB75" s="34" t="str">
        <v/>
      </c>
    </row>
    <row r="76" spans="1:28" ht="72">
      <c r="A76" s="34" t="str">
        <v>CA-741762-001</v>
      </c>
      <c r="B76" s="34" t="str">
        <v>631-TIT  -0734</v>
      </c>
      <c r="C76" s="34" t="str">
        <v>631-T-0734</v>
      </c>
      <c r="D76" s="34" t="str">
        <v>FIELD</v>
      </c>
      <c r="E76" s="34" t="str">
        <v>TEMPERATURE INDICATING TRANSMITTER</v>
      </c>
      <c r="F76" s="34" t="str">
        <v>631-G-0119B CLS DRN PMP SEAL TEMP</v>
      </c>
      <c r="G76" s="34">
        <v>0</v>
      </c>
      <c r="H76" s="34">
        <v>250</v>
      </c>
      <c r="I76" s="34" t="str">
        <v>°F</v>
      </c>
      <c r="J76" s="34">
        <v>0</v>
      </c>
      <c r="K76" s="34">
        <v>250</v>
      </c>
      <c r="L76" s="34" t="str">
        <v>°F</v>
      </c>
      <c r="M76" s="34" t="str">
        <v/>
      </c>
      <c r="N76" s="34" t="str">
        <v/>
      </c>
      <c r="O76" s="34" t="str">
        <v/>
      </c>
      <c r="P76" s="34" t="str">
        <v/>
      </c>
      <c r="Q76" s="34" t="str">
        <v/>
      </c>
      <c r="R76" s="34" t="str">
        <v/>
      </c>
      <c r="S76" s="34" t="str">
        <v/>
      </c>
      <c r="T76" s="34" t="str">
        <v>631-G-0119B</v>
      </c>
      <c r="U76" s="34" t="str">
        <v>HART AI</v>
      </c>
      <c r="V76" s="34" t="str">
        <v>631-DCS401</v>
      </c>
      <c r="W76" s="34" t="str">
        <v>4-20mA</v>
      </c>
      <c r="X76" s="34" t="str">
        <v>DCS</v>
      </c>
      <c r="Y76" s="34" t="str">
        <v>H</v>
      </c>
      <c r="Z76" s="34" t="str">
        <v>No</v>
      </c>
      <c r="AA76" s="34" t="str">
        <v>AUX</v>
      </c>
      <c r="AB76" s="34" t="str">
        <v>Rev 00d</v>
      </c>
    </row>
    <row r="77" spans="1:28" ht="72">
      <c r="A77" s="34" t="str">
        <v>CA-741762-001</v>
      </c>
      <c r="B77" s="34" t="str">
        <v>631-TI   -0734</v>
      </c>
      <c r="C77" s="34" t="str">
        <v>631-T-0734</v>
      </c>
      <c r="D77" s="34" t="str">
        <v>DCS</v>
      </c>
      <c r="E77" s="34" t="str">
        <v>DCS TEMPERATURE INDICATION</v>
      </c>
      <c r="F77" s="34" t="str">
        <v>631-G-0119B CLS DRN PMP SEAL TEMP</v>
      </c>
      <c r="G77" s="34" t="str">
        <v/>
      </c>
      <c r="H77" s="34" t="str">
        <v/>
      </c>
      <c r="I77" s="34" t="str">
        <v/>
      </c>
      <c r="J77" s="34" t="str">
        <v/>
      </c>
      <c r="K77" s="34" t="str">
        <v/>
      </c>
      <c r="L77" s="34" t="str">
        <v/>
      </c>
      <c r="M77" s="34" t="str">
        <v/>
      </c>
      <c r="N77" s="34" t="str">
        <v/>
      </c>
      <c r="O77" s="34" t="str">
        <v/>
      </c>
      <c r="P77" s="34" t="str">
        <v/>
      </c>
      <c r="Q77" s="34" t="str">
        <v/>
      </c>
      <c r="R77" s="34" t="str">
        <v/>
      </c>
      <c r="S77" s="34" t="str">
        <v/>
      </c>
      <c r="T77" s="34" t="str">
        <v/>
      </c>
      <c r="U77" s="34" t="str">
        <v>SW</v>
      </c>
      <c r="V77" s="34" t="str">
        <v/>
      </c>
      <c r="W77" s="34" t="str">
        <v>-</v>
      </c>
      <c r="X77" s="34" t="str">
        <v>DCS</v>
      </c>
      <c r="Y77" s="34" t="str">
        <v>-</v>
      </c>
      <c r="Z77" s="34" t="str">
        <v>No</v>
      </c>
      <c r="AA77" s="34" t="str">
        <v>AUX</v>
      </c>
      <c r="AB77" s="34" t="str">
        <v/>
      </c>
    </row>
    <row r="78" spans="1:28" ht="72">
      <c r="A78" s="34" t="str">
        <v>CA-741762-001</v>
      </c>
      <c r="B78" s="34" t="str">
        <v>631-TAH  -0734A</v>
      </c>
      <c r="C78" s="34" t="str">
        <v>631-T-0734</v>
      </c>
      <c r="D78" s="34" t="str">
        <v>DCS</v>
      </c>
      <c r="E78" s="34" t="str">
        <v>TEMPERATURE ALARM HIGH</v>
      </c>
      <c r="F78" s="34" t="str">
        <v>631-G-0119B CLS DRN PMP SEAL TEMP</v>
      </c>
      <c r="G78" s="34" t="str">
        <v/>
      </c>
      <c r="H78" s="34" t="str">
        <v/>
      </c>
      <c r="I78" s="34" t="str">
        <v/>
      </c>
      <c r="J78" s="34" t="str">
        <v/>
      </c>
      <c r="K78" s="34" t="str">
        <v/>
      </c>
      <c r="L78" s="34" t="str">
        <v/>
      </c>
      <c r="M78" s="34" t="str">
        <v>185</v>
      </c>
      <c r="N78" s="34" t="str">
        <v/>
      </c>
      <c r="O78" s="34" t="str">
        <v/>
      </c>
      <c r="P78" s="34" t="str">
        <v/>
      </c>
      <c r="Q78" s="34" t="str">
        <v/>
      </c>
      <c r="R78" s="34" t="str">
        <v/>
      </c>
      <c r="S78" s="34" t="str">
        <v>°F</v>
      </c>
      <c r="T78" s="34" t="str">
        <v/>
      </c>
      <c r="U78" s="34" t="str">
        <v>SW</v>
      </c>
      <c r="V78" s="34" t="str">
        <v/>
      </c>
      <c r="W78" s="34" t="str">
        <v>-</v>
      </c>
      <c r="X78" s="34" t="str">
        <v>DCS</v>
      </c>
      <c r="Y78" s="34" t="str">
        <v>-</v>
      </c>
      <c r="Z78" s="34" t="str">
        <v>No</v>
      </c>
      <c r="AA78" s="34" t="str">
        <v>AUX</v>
      </c>
      <c r="AB78" s="34" t="str">
        <v/>
      </c>
    </row>
    <row r="79" spans="1:28" ht="72">
      <c r="A79" s="34" t="str">
        <v>CA-741762-001</v>
      </c>
      <c r="B79" s="34" t="str">
        <v>631-TAH  -0734B</v>
      </c>
      <c r="C79" s="34" t="str">
        <v>631-T-0734</v>
      </c>
      <c r="D79" s="34" t="str">
        <v>DCS</v>
      </c>
      <c r="E79" s="34" t="str">
        <v>TEMPERATURE ALARM HIGH</v>
      </c>
      <c r="F79" s="34" t="str">
        <v>631-G-0119B CLS DRN PMP SEAL TEMP HI</v>
      </c>
      <c r="G79" s="34" t="str">
        <v/>
      </c>
      <c r="H79" s="34" t="str">
        <v/>
      </c>
      <c r="I79" s="34" t="str">
        <v/>
      </c>
      <c r="J79" s="34" t="str">
        <v/>
      </c>
      <c r="K79" s="34" t="str">
        <v/>
      </c>
      <c r="L79" s="34" t="str">
        <v/>
      </c>
      <c r="M79" s="34" t="str">
        <v>203</v>
      </c>
      <c r="N79" s="34" t="str">
        <v/>
      </c>
      <c r="O79" s="34" t="str">
        <v/>
      </c>
      <c r="P79" s="34" t="str">
        <v/>
      </c>
      <c r="Q79" s="34" t="str">
        <v/>
      </c>
      <c r="R79" s="34" t="str">
        <v/>
      </c>
      <c r="S79" s="34" t="str">
        <v>°F</v>
      </c>
      <c r="T79" s="34" t="str">
        <v/>
      </c>
      <c r="U79" s="34" t="str">
        <v>SW</v>
      </c>
      <c r="V79" s="34" t="str">
        <v/>
      </c>
      <c r="W79" s="34" t="str">
        <v>-</v>
      </c>
      <c r="X79" s="34" t="str">
        <v>DCS</v>
      </c>
      <c r="Y79" s="34" t="str">
        <v>-</v>
      </c>
      <c r="Z79" s="34" t="str">
        <v>No</v>
      </c>
      <c r="AA79" s="34" t="str">
        <v>AUX</v>
      </c>
      <c r="AB79" s="34" t="str"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B344-9EC5-407D-955D-A2EA7C718D27}">
  <dimension ref="A1:AB70"/>
  <sheetViews>
    <sheetView workbookViewId="0"/>
  </sheetViews>
  <sheetFormatPr defaultRowHeight="15"/>
  <cols>
    <col min="1" max="2" width="20" style="34" customWidth="1"/>
    <col min="3" max="3" width="18.140625" style="34" customWidth="1"/>
    <col min="4" max="4" width="9.140625" style="34"/>
    <col min="5" max="5" width="41.85546875" style="34" customWidth="1"/>
    <col min="6" max="6" width="49.5703125" style="34" customWidth="1"/>
    <col min="7" max="26" width="9.140625" style="34"/>
    <col min="27" max="27" width="24.7109375" style="34" customWidth="1"/>
    <col min="28" max="28" width="14.28515625" style="34" customWidth="1"/>
  </cols>
  <sheetData>
    <row r="1" spans="1:28" ht="36" customHeight="1">
      <c r="A1" s="33" t="s">
        <v>4</v>
      </c>
      <c r="B1" s="33" t="s">
        <v>5</v>
      </c>
      <c r="C1" s="33" t="s">
        <v>6</v>
      </c>
      <c r="D1" s="33" t="s">
        <v>7</v>
      </c>
      <c r="E1" s="33" t="s">
        <v>8</v>
      </c>
      <c r="F1" s="33" t="s">
        <v>9</v>
      </c>
      <c r="G1" s="33" t="s">
        <v>10</v>
      </c>
      <c r="H1" s="33" t="s">
        <v>11</v>
      </c>
      <c r="I1" s="33" t="s">
        <v>12</v>
      </c>
      <c r="J1" s="33" t="s">
        <v>13</v>
      </c>
      <c r="K1" s="33" t="s">
        <v>14</v>
      </c>
      <c r="L1" s="33" t="s">
        <v>15</v>
      </c>
      <c r="M1" s="33" t="s">
        <v>16</v>
      </c>
      <c r="N1" s="33" t="s">
        <v>17</v>
      </c>
      <c r="O1" s="33" t="s">
        <v>18</v>
      </c>
      <c r="P1" s="33" t="s">
        <v>19</v>
      </c>
      <c r="Q1" s="33" t="s">
        <v>20</v>
      </c>
      <c r="R1" s="33" t="s">
        <v>21</v>
      </c>
      <c r="S1" s="33" t="s">
        <v>22</v>
      </c>
      <c r="T1" s="33" t="s">
        <v>23</v>
      </c>
      <c r="U1" s="33" t="s">
        <v>24</v>
      </c>
      <c r="V1" s="33" t="s">
        <v>25</v>
      </c>
      <c r="W1" s="33" t="s">
        <v>26</v>
      </c>
      <c r="X1" s="33" t="s">
        <v>27</v>
      </c>
      <c r="Y1" s="33" t="s">
        <v>28</v>
      </c>
      <c r="Z1" s="33" t="s">
        <v>29</v>
      </c>
      <c r="AA1" s="33" t="s">
        <v>30</v>
      </c>
      <c r="AB1" s="33" t="s">
        <v>31</v>
      </c>
    </row>
    <row r="2" spans="1:28" ht="72">
      <c r="A2" s="34" t="str" cm="1">
        <f t="array" ref="A2:AB70">_xlfn.LET(_xlpm.x,_xlfn._xlws.FILTER(FilteredIORecords[],FilteredIORecords[PID]="CA-741765-001",""),IF(_xlpm.x="","",_xlpm.x))</f>
        <v>CA-741765-001</v>
      </c>
      <c r="B2" s="34" t="str">
        <v>631-AY   -0521</v>
      </c>
      <c r="C2" s="34" t="str">
        <v>631-A-0521</v>
      </c>
      <c r="D2" s="34" t="str">
        <v>VALVE</v>
      </c>
      <c r="E2" s="34" t="str">
        <v>SOLENOID VALVE</v>
      </c>
      <c r="F2" s="34" t="str">
        <v>631-D-0127 OW DRN DRM TO CD DRM OW VLV</v>
      </c>
      <c r="G2" s="34" t="str">
        <v/>
      </c>
      <c r="H2" s="34" t="str">
        <v/>
      </c>
      <c r="I2" s="34" t="str">
        <v/>
      </c>
      <c r="J2" s="34" t="str">
        <v/>
      </c>
      <c r="K2" s="34" t="str">
        <v/>
      </c>
      <c r="L2" s="34" t="str">
        <v/>
      </c>
      <c r="M2" s="34" t="str">
        <v/>
      </c>
      <c r="N2" s="34" t="str">
        <v/>
      </c>
      <c r="O2" s="34" t="str">
        <v/>
      </c>
      <c r="P2" s="34" t="str">
        <v/>
      </c>
      <c r="Q2" s="34" t="str">
        <v/>
      </c>
      <c r="R2" s="34" t="str">
        <v/>
      </c>
      <c r="S2" s="34" t="str">
        <v/>
      </c>
      <c r="T2" s="34" t="str">
        <v/>
      </c>
      <c r="U2" s="34" t="str">
        <v>DO</v>
      </c>
      <c r="V2" s="34" t="str">
        <v>631-DCS401</v>
      </c>
      <c r="W2" s="34" t="str">
        <v>24VDC</v>
      </c>
      <c r="X2" s="34" t="str">
        <v>DCS</v>
      </c>
      <c r="Y2" s="34" t="str">
        <v>C</v>
      </c>
      <c r="Z2" s="34" t="str">
        <v>No</v>
      </c>
      <c r="AA2" s="34" t="str">
        <v>AUX</v>
      </c>
      <c r="AB2" s="34" t="str">
        <v/>
      </c>
    </row>
    <row r="3" spans="1:28" ht="84">
      <c r="A3" s="34" t="str">
        <v>CA-741765-001</v>
      </c>
      <c r="B3" s="34" t="str">
        <v>631-XSH  -0521</v>
      </c>
      <c r="C3" s="34" t="str">
        <v>631-A-0521</v>
      </c>
      <c r="D3" s="34" t="str">
        <v>VALVE</v>
      </c>
      <c r="E3" s="34" t="str">
        <v>VALVE POSITION SWITCH OPEN</v>
      </c>
      <c r="F3" s="34" t="str">
        <v>631-D-0127 OW DRN DRM TO CD DRM OW VLV OPN</v>
      </c>
      <c r="G3" s="34" t="str">
        <v/>
      </c>
      <c r="H3" s="34" t="str">
        <v/>
      </c>
      <c r="I3" s="34" t="str">
        <v/>
      </c>
      <c r="J3" s="34" t="str">
        <v/>
      </c>
      <c r="K3" s="34" t="str">
        <v/>
      </c>
      <c r="L3" s="34" t="str">
        <v/>
      </c>
      <c r="M3" s="34" t="str">
        <v/>
      </c>
      <c r="N3" s="34" t="str">
        <v/>
      </c>
      <c r="O3" s="34" t="str">
        <v/>
      </c>
      <c r="P3" s="34" t="str">
        <v/>
      </c>
      <c r="Q3" s="34" t="str">
        <v/>
      </c>
      <c r="R3" s="34" t="str">
        <v/>
      </c>
      <c r="S3" s="34" t="str">
        <v/>
      </c>
      <c r="T3" s="34" t="str">
        <v/>
      </c>
      <c r="U3" s="34" t="str">
        <v>DI</v>
      </c>
      <c r="V3" s="34" t="str">
        <v>631-DCS401</v>
      </c>
      <c r="W3" s="34" t="str">
        <v>FREE</v>
      </c>
      <c r="X3" s="34" t="str">
        <v>DCS</v>
      </c>
      <c r="Y3" s="34" t="str">
        <v>C</v>
      </c>
      <c r="Z3" s="34" t="str">
        <v>No</v>
      </c>
      <c r="AA3" s="34" t="str">
        <v>AUX</v>
      </c>
      <c r="AB3" s="34" t="str">
        <v/>
      </c>
    </row>
    <row r="4" spans="1:28" ht="84">
      <c r="A4" s="34" t="str">
        <v>CA-741765-001</v>
      </c>
      <c r="B4" s="34" t="str">
        <v>631-XSL  -0521</v>
      </c>
      <c r="C4" s="34" t="str">
        <v>631-A-0521</v>
      </c>
      <c r="D4" s="34" t="str">
        <v>VALVE</v>
      </c>
      <c r="E4" s="34" t="str">
        <v>VALVE POSITION SWITCH CLOSED</v>
      </c>
      <c r="F4" s="34" t="str">
        <v>631-D-0127 OW DRN DRM TO CD DRM OW VLV CLS</v>
      </c>
      <c r="G4" s="34" t="str">
        <v/>
      </c>
      <c r="H4" s="34" t="str">
        <v/>
      </c>
      <c r="I4" s="34" t="str">
        <v/>
      </c>
      <c r="J4" s="34" t="str">
        <v/>
      </c>
      <c r="K4" s="34" t="str">
        <v/>
      </c>
      <c r="L4" s="34" t="str">
        <v/>
      </c>
      <c r="M4" s="34" t="str">
        <v/>
      </c>
      <c r="N4" s="34" t="str">
        <v/>
      </c>
      <c r="O4" s="34" t="str">
        <v/>
      </c>
      <c r="P4" s="34" t="str">
        <v/>
      </c>
      <c r="Q4" s="34" t="str">
        <v/>
      </c>
      <c r="R4" s="34" t="str">
        <v/>
      </c>
      <c r="S4" s="34" t="str">
        <v/>
      </c>
      <c r="T4" s="34" t="str">
        <v/>
      </c>
      <c r="U4" s="34" t="str">
        <v>DI</v>
      </c>
      <c r="V4" s="34" t="str">
        <v>631-DCS401</v>
      </c>
      <c r="W4" s="34" t="str">
        <v>FREE</v>
      </c>
      <c r="X4" s="34" t="str">
        <v>DCS</v>
      </c>
      <c r="Y4" s="34" t="str">
        <v>C</v>
      </c>
      <c r="Z4" s="34" t="str">
        <v>No</v>
      </c>
      <c r="AA4" s="34" t="str">
        <v>AUX</v>
      </c>
      <c r="AB4" s="34" t="str">
        <v/>
      </c>
    </row>
    <row r="5" spans="1:28" ht="84">
      <c r="A5" s="34" t="str">
        <v>CA-741765-001</v>
      </c>
      <c r="B5" s="34" t="str">
        <v>631-XIH  -0521</v>
      </c>
      <c r="C5" s="34" t="str">
        <v>631-A-0521</v>
      </c>
      <c r="D5" s="34" t="str">
        <v>DCS</v>
      </c>
      <c r="E5" s="34" t="str">
        <v>STATUS INDICATION OPEN</v>
      </c>
      <c r="F5" s="34" t="str">
        <v>631-D-0127 OW DRN DRM TO CD DRM OW VLV OPN</v>
      </c>
      <c r="G5" s="34" t="str">
        <v/>
      </c>
      <c r="H5" s="34" t="str">
        <v/>
      </c>
      <c r="I5" s="34" t="str">
        <v/>
      </c>
      <c r="J5" s="34" t="str">
        <v/>
      </c>
      <c r="K5" s="34" t="str">
        <v/>
      </c>
      <c r="L5" s="34" t="str">
        <v/>
      </c>
      <c r="M5" s="34" t="str">
        <v/>
      </c>
      <c r="N5" s="34" t="str">
        <v/>
      </c>
      <c r="O5" s="34" t="str">
        <v/>
      </c>
      <c r="P5" s="34" t="str">
        <v/>
      </c>
      <c r="Q5" s="34" t="str">
        <v/>
      </c>
      <c r="R5" s="34" t="str">
        <v/>
      </c>
      <c r="S5" s="34" t="str">
        <v/>
      </c>
      <c r="T5" s="34" t="str">
        <v/>
      </c>
      <c r="U5" s="34" t="str">
        <v>SW</v>
      </c>
      <c r="V5" s="34" t="str">
        <v/>
      </c>
      <c r="W5" s="34" t="str">
        <v>-</v>
      </c>
      <c r="X5" s="34" t="str">
        <v>DCS</v>
      </c>
      <c r="Y5" s="34" t="str">
        <v>-</v>
      </c>
      <c r="Z5" s="34" t="str">
        <v>No</v>
      </c>
      <c r="AA5" s="34" t="str">
        <v>AUX</v>
      </c>
      <c r="AB5" s="34" t="str">
        <v/>
      </c>
    </row>
    <row r="6" spans="1:28" ht="84">
      <c r="A6" s="34" t="str">
        <v>CA-741765-001</v>
      </c>
      <c r="B6" s="34" t="str">
        <v>631-XIL  -0521</v>
      </c>
      <c r="C6" s="34" t="str">
        <v>631-A-0521</v>
      </c>
      <c r="D6" s="34" t="str">
        <v>DCS</v>
      </c>
      <c r="E6" s="34" t="str">
        <v>STATUS INDICATION CLOSED</v>
      </c>
      <c r="F6" s="34" t="str">
        <v>631-D-0127 OW DRN DRM TO CD DRM OW VLV CLS</v>
      </c>
      <c r="G6" s="34" t="str">
        <v/>
      </c>
      <c r="H6" s="34" t="str">
        <v/>
      </c>
      <c r="I6" s="34" t="str">
        <v/>
      </c>
      <c r="J6" s="34" t="str">
        <v/>
      </c>
      <c r="K6" s="34" t="str">
        <v/>
      </c>
      <c r="L6" s="34" t="str">
        <v/>
      </c>
      <c r="M6" s="34" t="str">
        <v/>
      </c>
      <c r="N6" s="34" t="str">
        <v/>
      </c>
      <c r="O6" s="34" t="str">
        <v/>
      </c>
      <c r="P6" s="34" t="str">
        <v/>
      </c>
      <c r="Q6" s="34" t="str">
        <v/>
      </c>
      <c r="R6" s="34" t="str">
        <v/>
      </c>
      <c r="S6" s="34" t="str">
        <v/>
      </c>
      <c r="T6" s="34" t="str">
        <v/>
      </c>
      <c r="U6" s="34" t="str">
        <v>SW</v>
      </c>
      <c r="V6" s="34" t="str">
        <v/>
      </c>
      <c r="W6" s="34" t="str">
        <v>-</v>
      </c>
      <c r="X6" s="34" t="str">
        <v>DCS</v>
      </c>
      <c r="Y6" s="34" t="str">
        <v>-</v>
      </c>
      <c r="Z6" s="34" t="str">
        <v>No</v>
      </c>
      <c r="AA6" s="34" t="str">
        <v>AUX</v>
      </c>
      <c r="AB6" s="34" t="str">
        <v/>
      </c>
    </row>
    <row r="7" spans="1:28" ht="72">
      <c r="A7" s="34" t="str">
        <v>CA-741765-001</v>
      </c>
      <c r="B7" s="34" t="str">
        <v>631-HS   -0521A</v>
      </c>
      <c r="C7" s="34" t="str">
        <v>631-A-0521</v>
      </c>
      <c r="D7" s="34" t="str">
        <v>DCS</v>
      </c>
      <c r="E7" s="34" t="str">
        <v>DCS HAND SWITCH VALVE OPEN</v>
      </c>
      <c r="F7" s="34" t="str">
        <v>631-D-0127 OW DRN DRM TO CD DRM OW OPN</v>
      </c>
      <c r="G7" s="34" t="str">
        <v/>
      </c>
      <c r="H7" s="34" t="str">
        <v/>
      </c>
      <c r="I7" s="34" t="str">
        <v/>
      </c>
      <c r="J7" s="34" t="str">
        <v/>
      </c>
      <c r="K7" s="34" t="str">
        <v/>
      </c>
      <c r="L7" s="34" t="str">
        <v/>
      </c>
      <c r="M7" s="34" t="str">
        <v/>
      </c>
      <c r="N7" s="34" t="str">
        <v/>
      </c>
      <c r="O7" s="34" t="str">
        <v/>
      </c>
      <c r="P7" s="34" t="str">
        <v/>
      </c>
      <c r="Q7" s="34" t="str">
        <v/>
      </c>
      <c r="R7" s="34" t="str">
        <v/>
      </c>
      <c r="S7" s="34" t="str">
        <v/>
      </c>
      <c r="T7" s="34" t="str">
        <v/>
      </c>
      <c r="U7" s="34" t="str">
        <v>SW</v>
      </c>
      <c r="V7" s="34" t="str">
        <v/>
      </c>
      <c r="W7" s="34" t="str">
        <v>-</v>
      </c>
      <c r="X7" s="34" t="str">
        <v>DCS</v>
      </c>
      <c r="Y7" s="34" t="str">
        <v>-</v>
      </c>
      <c r="Z7" s="34" t="str">
        <v>No</v>
      </c>
      <c r="AA7" s="34" t="str">
        <v>AUX</v>
      </c>
      <c r="AB7" s="34" t="str">
        <v/>
      </c>
    </row>
    <row r="8" spans="1:28" ht="72">
      <c r="A8" s="34" t="str">
        <v>CA-741765-001</v>
      </c>
      <c r="B8" s="34" t="str">
        <v>631-HS   -0521B</v>
      </c>
      <c r="C8" s="34" t="str">
        <v>631-A-0521</v>
      </c>
      <c r="D8" s="34" t="str">
        <v>DCS</v>
      </c>
      <c r="E8" s="34" t="str">
        <v>DCS HAND SWITCH VALVE CLOSE</v>
      </c>
      <c r="F8" s="34" t="str">
        <v>631-D-0127 OW DRN DRM TO CD DRM OW CLS</v>
      </c>
      <c r="G8" s="34" t="str">
        <v/>
      </c>
      <c r="H8" s="34" t="str">
        <v/>
      </c>
      <c r="I8" s="34" t="str">
        <v/>
      </c>
      <c r="J8" s="34" t="str">
        <v/>
      </c>
      <c r="K8" s="34" t="str">
        <v/>
      </c>
      <c r="L8" s="34" t="str">
        <v/>
      </c>
      <c r="M8" s="34" t="str">
        <v/>
      </c>
      <c r="N8" s="34" t="str">
        <v/>
      </c>
      <c r="O8" s="34" t="str">
        <v/>
      </c>
      <c r="P8" s="34" t="str">
        <v/>
      </c>
      <c r="Q8" s="34" t="str">
        <v/>
      </c>
      <c r="R8" s="34" t="str">
        <v/>
      </c>
      <c r="S8" s="34" t="str">
        <v/>
      </c>
      <c r="T8" s="34" t="str">
        <v/>
      </c>
      <c r="U8" s="34" t="str">
        <v>SW</v>
      </c>
      <c r="V8" s="34" t="str">
        <v/>
      </c>
      <c r="W8" s="34" t="str">
        <v>-</v>
      </c>
      <c r="X8" s="34" t="str">
        <v>DCS</v>
      </c>
      <c r="Y8" s="34" t="str">
        <v>-</v>
      </c>
      <c r="Z8" s="34" t="str">
        <v>No</v>
      </c>
      <c r="AA8" s="34" t="str">
        <v>AUX</v>
      </c>
      <c r="AB8" s="34" t="str">
        <v/>
      </c>
    </row>
    <row r="9" spans="1:28" ht="72">
      <c r="A9" s="34" t="str">
        <v>CA-741765-001</v>
      </c>
      <c r="B9" s="34" t="str">
        <v>631-XA   -0521</v>
      </c>
      <c r="C9" s="34" t="str">
        <v>631-A-0521</v>
      </c>
      <c r="D9" s="34" t="str">
        <v>DCS</v>
      </c>
      <c r="E9" s="34" t="str">
        <v>FAULT ALARM/TRIP INDICATION</v>
      </c>
      <c r="F9" s="34" t="str">
        <v>631-D-0127 OW DRN DRM TO CD DRM OW FLT</v>
      </c>
      <c r="G9" s="34" t="str">
        <v/>
      </c>
      <c r="H9" s="34" t="str">
        <v/>
      </c>
      <c r="I9" s="34" t="str">
        <v/>
      </c>
      <c r="J9" s="34" t="str">
        <v/>
      </c>
      <c r="K9" s="34" t="str">
        <v/>
      </c>
      <c r="L9" s="34" t="str">
        <v/>
      </c>
      <c r="M9" s="34" t="str">
        <v/>
      </c>
      <c r="N9" s="34" t="str">
        <v/>
      </c>
      <c r="O9" s="34" t="str">
        <v/>
      </c>
      <c r="P9" s="34" t="str">
        <v/>
      </c>
      <c r="Q9" s="34" t="str">
        <v/>
      </c>
      <c r="R9" s="34" t="str">
        <v/>
      </c>
      <c r="S9" s="34" t="str">
        <v/>
      </c>
      <c r="T9" s="34" t="str">
        <v/>
      </c>
      <c r="U9" s="34" t="str">
        <v>SW</v>
      </c>
      <c r="V9" s="34" t="str">
        <v/>
      </c>
      <c r="W9" s="34" t="str">
        <v>-</v>
      </c>
      <c r="X9" s="34" t="str">
        <v>DCS</v>
      </c>
      <c r="Y9" s="34" t="str">
        <v>-</v>
      </c>
      <c r="Z9" s="34" t="str">
        <v>No</v>
      </c>
      <c r="AA9" s="34" t="str">
        <v>AUX</v>
      </c>
      <c r="AB9" s="34" t="str">
        <v/>
      </c>
    </row>
    <row r="10" spans="1:28" ht="84">
      <c r="A10" s="34" t="str">
        <v>CA-741765-001</v>
      </c>
      <c r="B10" s="34" t="str">
        <v>631-FIT  -0522</v>
      </c>
      <c r="C10" s="34" t="str">
        <v>631-F-0522</v>
      </c>
      <c r="D10" s="34" t="str">
        <v>FIELD</v>
      </c>
      <c r="E10" s="34" t="str">
        <v>FLOW INDICATING TRANSMITTER - D/P</v>
      </c>
      <c r="F10" s="34" t="str">
        <v>631-G-0128A/B OW DRN PMP DISCH FLO</v>
      </c>
      <c r="G10" s="34" t="str">
        <v>0</v>
      </c>
      <c r="H10" s="34" t="str">
        <v>100</v>
      </c>
      <c r="I10" s="34" t="str">
        <v>inH2O</v>
      </c>
      <c r="J10" s="34" t="str">
        <v>0</v>
      </c>
      <c r="K10" s="34" t="str">
        <v>110</v>
      </c>
      <c r="L10" s="34" t="str">
        <v>US gal/min</v>
      </c>
      <c r="M10" s="34" t="str">
        <v/>
      </c>
      <c r="N10" s="34" t="str">
        <v/>
      </c>
      <c r="O10" s="34" t="str">
        <v/>
      </c>
      <c r="P10" s="34" t="str">
        <v/>
      </c>
      <c r="Q10" s="34" t="str">
        <v/>
      </c>
      <c r="R10" s="34" t="str">
        <v/>
      </c>
      <c r="S10" s="34" t="str">
        <v/>
      </c>
      <c r="T10" s="34" t="str">
        <v/>
      </c>
      <c r="U10" s="34" t="str">
        <v>HART AI</v>
      </c>
      <c r="V10" s="34" t="str">
        <v>631-DCS401</v>
      </c>
      <c r="W10" s="34" t="str">
        <v>4-20mA</v>
      </c>
      <c r="X10" s="34" t="str">
        <v>DCS</v>
      </c>
      <c r="Y10" s="34" t="str">
        <v>H</v>
      </c>
      <c r="Z10" s="34" t="str">
        <v>No</v>
      </c>
      <c r="AA10" s="34" t="str">
        <v>AUX</v>
      </c>
      <c r="AB10" s="34" t="str">
        <v/>
      </c>
    </row>
    <row r="11" spans="1:28" ht="96">
      <c r="A11" s="34" t="str">
        <v>CA-741765-001</v>
      </c>
      <c r="B11" s="34" t="str">
        <v>631-FIC  -0522</v>
      </c>
      <c r="C11" s="34" t="str">
        <v>631-F-0522</v>
      </c>
      <c r="D11" s="34" t="str">
        <v>DCS</v>
      </c>
      <c r="E11" s="34" t="str">
        <v>FLOW INDICATING CONTROLLER</v>
      </c>
      <c r="F11" s="34" t="str">
        <v>631-G-0128A/B OW DRN PMP DISCH FLO CTRL</v>
      </c>
      <c r="G11" s="34" t="str">
        <v/>
      </c>
      <c r="H11" s="34" t="str">
        <v/>
      </c>
      <c r="I11" s="34" t="str">
        <v/>
      </c>
      <c r="J11" s="34" t="str">
        <v/>
      </c>
      <c r="K11" s="34" t="str">
        <v/>
      </c>
      <c r="L11" s="34" t="str">
        <v/>
      </c>
      <c r="M11" s="34" t="str">
        <v/>
      </c>
      <c r="N11" s="34" t="str">
        <v/>
      </c>
      <c r="O11" s="34" t="str">
        <v/>
      </c>
      <c r="P11" s="34" t="str">
        <v/>
      </c>
      <c r="Q11" s="34" t="str">
        <v/>
      </c>
      <c r="R11" s="34" t="str">
        <v/>
      </c>
      <c r="S11" s="34" t="str">
        <v/>
      </c>
      <c r="T11" s="34" t="str">
        <v/>
      </c>
      <c r="U11" s="34" t="str">
        <v>SW</v>
      </c>
      <c r="V11" s="34" t="str">
        <v/>
      </c>
      <c r="W11" s="34" t="str">
        <v>-</v>
      </c>
      <c r="X11" s="34" t="str">
        <v>DCS</v>
      </c>
      <c r="Y11" s="34" t="str">
        <v>-</v>
      </c>
      <c r="Z11" s="34" t="str">
        <v>No</v>
      </c>
      <c r="AA11" s="34" t="str">
        <v>AUX</v>
      </c>
      <c r="AB11" s="34" t="str">
        <v/>
      </c>
    </row>
    <row r="12" spans="1:28" ht="72">
      <c r="A12" s="34" t="str">
        <v>CA-741765-001</v>
      </c>
      <c r="B12" s="34" t="str">
        <v>631-FY   -0522</v>
      </c>
      <c r="C12" s="34" t="str">
        <v>631-F-0522</v>
      </c>
      <c r="D12" s="34" t="str">
        <v>VALVE</v>
      </c>
      <c r="E12" s="34" t="str">
        <v>I/P CONVERTER</v>
      </c>
      <c r="F12" s="34" t="str">
        <v>631-G-0128A/B OW DRN PMP MIN FLO</v>
      </c>
      <c r="G12" s="34" t="str">
        <v/>
      </c>
      <c r="H12" s="34" t="str">
        <v/>
      </c>
      <c r="I12" s="34" t="str">
        <v/>
      </c>
      <c r="J12" s="34" t="str">
        <v/>
      </c>
      <c r="K12" s="34" t="str">
        <v/>
      </c>
      <c r="L12" s="34" t="str">
        <v/>
      </c>
      <c r="M12" s="34" t="str">
        <v/>
      </c>
      <c r="N12" s="34" t="str">
        <v/>
      </c>
      <c r="O12" s="34" t="str">
        <v/>
      </c>
      <c r="P12" s="34" t="str">
        <v/>
      </c>
      <c r="Q12" s="34" t="str">
        <v/>
      </c>
      <c r="R12" s="34" t="str">
        <v/>
      </c>
      <c r="S12" s="34" t="str">
        <v/>
      </c>
      <c r="T12" s="34" t="str">
        <v/>
      </c>
      <c r="U12" s="34" t="str">
        <v>HART AO</v>
      </c>
      <c r="V12" s="34" t="str">
        <v>631-DCS401</v>
      </c>
      <c r="W12" s="34" t="str">
        <v>4-20mA</v>
      </c>
      <c r="X12" s="34" t="str">
        <v>DCS</v>
      </c>
      <c r="Y12" s="34" t="str">
        <v>H</v>
      </c>
      <c r="Z12" s="34" t="str">
        <v>No</v>
      </c>
      <c r="AA12" s="34" t="str">
        <v>AUX</v>
      </c>
      <c r="AB12" s="34" t="str">
        <v/>
      </c>
    </row>
    <row r="13" spans="1:28" ht="84">
      <c r="A13" s="34" t="str">
        <v>CA-741765-001</v>
      </c>
      <c r="B13" s="34" t="str">
        <v>631-HS   -0521</v>
      </c>
      <c r="C13" s="34" t="str">
        <v>631-H-0521</v>
      </c>
      <c r="D13" s="34" t="str">
        <v>DCS</v>
      </c>
      <c r="E13" s="34" t="str">
        <v>DCS HANDSWITCH</v>
      </c>
      <c r="F13" s="34" t="str">
        <v>631-GD-0128A/B OW DRN PMP LEAD LAG SEL</v>
      </c>
      <c r="G13" s="34" t="str">
        <v/>
      </c>
      <c r="H13" s="34" t="str">
        <v/>
      </c>
      <c r="I13" s="34" t="str">
        <v/>
      </c>
      <c r="J13" s="34" t="str">
        <v/>
      </c>
      <c r="K13" s="34" t="str">
        <v/>
      </c>
      <c r="L13" s="34" t="str">
        <v/>
      </c>
      <c r="M13" s="34" t="str">
        <v/>
      </c>
      <c r="N13" s="34" t="str">
        <v/>
      </c>
      <c r="O13" s="34" t="str">
        <v/>
      </c>
      <c r="P13" s="34" t="str">
        <v/>
      </c>
      <c r="Q13" s="34" t="str">
        <v/>
      </c>
      <c r="R13" s="34" t="str">
        <v/>
      </c>
      <c r="S13" s="34" t="str">
        <v/>
      </c>
      <c r="T13" s="34" t="str">
        <v/>
      </c>
      <c r="U13" s="34" t="str">
        <v>SW</v>
      </c>
      <c r="V13" s="34" t="str">
        <v/>
      </c>
      <c r="W13" s="34" t="str">
        <v>-</v>
      </c>
      <c r="X13" s="34" t="str">
        <v>DCS</v>
      </c>
      <c r="Y13" s="34" t="str">
        <v>-</v>
      </c>
      <c r="Z13" s="34" t="str">
        <v>No</v>
      </c>
      <c r="AA13" s="34" t="str">
        <v>AUX</v>
      </c>
      <c r="AB13" s="34" t="str">
        <v/>
      </c>
    </row>
    <row r="14" spans="1:28" ht="72">
      <c r="A14" s="34" t="str">
        <v>CA-741765-001</v>
      </c>
      <c r="B14" s="34" t="str">
        <v>631-LIT  -0521</v>
      </c>
      <c r="C14" s="34" t="str">
        <v>631-L-0521</v>
      </c>
      <c r="D14" s="34" t="str">
        <v>FIELD</v>
      </c>
      <c r="E14" s="34" t="str">
        <v>LEVEL TRANSMITTER GUIDED WAVE RADAR</v>
      </c>
      <c r="F14" s="34" t="str">
        <v>631-D-0127 OW DRN DRM LVL</v>
      </c>
      <c r="G14" s="34" t="str">
        <v>6</v>
      </c>
      <c r="H14" s="34" t="str">
        <v>71</v>
      </c>
      <c r="I14" s="34" t="str">
        <v>in</v>
      </c>
      <c r="J14" s="34" t="str">
        <v>0</v>
      </c>
      <c r="K14" s="34" t="str">
        <v>100</v>
      </c>
      <c r="L14" s="34" t="str">
        <v>%</v>
      </c>
      <c r="M14" s="34" t="str">
        <v/>
      </c>
      <c r="N14" s="34" t="str">
        <v/>
      </c>
      <c r="O14" s="34" t="str">
        <v/>
      </c>
      <c r="P14" s="34" t="str">
        <v/>
      </c>
      <c r="Q14" s="34" t="str">
        <v/>
      </c>
      <c r="R14" s="34" t="str">
        <v/>
      </c>
      <c r="S14" s="34" t="str">
        <v/>
      </c>
      <c r="T14" s="34" t="str">
        <v>631-D-0127</v>
      </c>
      <c r="U14" s="34" t="str">
        <v>HART AI</v>
      </c>
      <c r="V14" s="34" t="str">
        <v>631-DCS401</v>
      </c>
      <c r="W14" s="34" t="str">
        <v>4-20mA</v>
      </c>
      <c r="X14" s="34" t="str">
        <v>DCS</v>
      </c>
      <c r="Y14" s="34" t="str">
        <v>H</v>
      </c>
      <c r="Z14" s="34" t="str">
        <v>No</v>
      </c>
      <c r="AA14" s="34" t="str">
        <v>AUX</v>
      </c>
      <c r="AB14" s="34" t="str">
        <v/>
      </c>
    </row>
    <row r="15" spans="1:28" ht="60">
      <c r="A15" s="34" t="str">
        <v>CA-741765-001</v>
      </c>
      <c r="B15" s="34" t="str">
        <v>631-LIC  -0521</v>
      </c>
      <c r="C15" s="34" t="str">
        <v>631-L-0521</v>
      </c>
      <c r="D15" s="34" t="str">
        <v>DCS</v>
      </c>
      <c r="E15" s="34" t="str">
        <v>LEVEL INDICATION CONTROLLER</v>
      </c>
      <c r="F15" s="34" t="str">
        <v>631-D-0127 OW DRN DRM LVL CTRL</v>
      </c>
      <c r="G15" s="34" t="str">
        <v/>
      </c>
      <c r="H15" s="34" t="str">
        <v/>
      </c>
      <c r="I15" s="34" t="str">
        <v/>
      </c>
      <c r="J15" s="34" t="str">
        <v/>
      </c>
      <c r="K15" s="34" t="str">
        <v/>
      </c>
      <c r="L15" s="34" t="str">
        <v/>
      </c>
      <c r="M15" s="34" t="str">
        <v/>
      </c>
      <c r="N15" s="34" t="str">
        <v/>
      </c>
      <c r="O15" s="34" t="str">
        <v/>
      </c>
      <c r="P15" s="34" t="str">
        <v/>
      </c>
      <c r="Q15" s="34" t="str">
        <v/>
      </c>
      <c r="R15" s="34" t="str">
        <v/>
      </c>
      <c r="S15" s="34" t="str">
        <v/>
      </c>
      <c r="T15" s="34" t="str">
        <v/>
      </c>
      <c r="U15" s="34" t="str">
        <v>SW</v>
      </c>
      <c r="V15" s="34" t="str">
        <v/>
      </c>
      <c r="W15" s="34" t="str">
        <v>-</v>
      </c>
      <c r="X15" s="34" t="str">
        <v>DCS</v>
      </c>
      <c r="Y15" s="34" t="str">
        <v>-</v>
      </c>
      <c r="Z15" s="34" t="str">
        <v>No</v>
      </c>
      <c r="AA15" s="34" t="str">
        <v>AUX</v>
      </c>
      <c r="AB15" s="34" t="str">
        <v/>
      </c>
    </row>
    <row r="16" spans="1:28" ht="60">
      <c r="A16" s="34" t="str">
        <v>CA-741765-001</v>
      </c>
      <c r="B16" s="34" t="str">
        <v>631-LAH  -0521</v>
      </c>
      <c r="C16" s="34" t="str">
        <v>631-L-0521</v>
      </c>
      <c r="D16" s="34" t="str">
        <v>DCS</v>
      </c>
      <c r="E16" s="34" t="str">
        <v>LEVEL ALARM HIGH</v>
      </c>
      <c r="F16" s="34" t="str">
        <v>631-D-0127 OW DRN DRM LVL HI</v>
      </c>
      <c r="G16" s="34" t="str">
        <v/>
      </c>
      <c r="H16" s="34" t="str">
        <v/>
      </c>
      <c r="I16" s="34" t="str">
        <v/>
      </c>
      <c r="J16" s="34" t="str">
        <v/>
      </c>
      <c r="K16" s="34" t="str">
        <v/>
      </c>
      <c r="L16" s="34" t="str">
        <v/>
      </c>
      <c r="M16" s="34" t="str">
        <v>87.1</v>
      </c>
      <c r="N16" s="34" t="str">
        <v/>
      </c>
      <c r="O16" s="34" t="str">
        <v/>
      </c>
      <c r="P16" s="34" t="str">
        <v/>
      </c>
      <c r="Q16" s="34" t="str">
        <v/>
      </c>
      <c r="R16" s="34" t="str">
        <v/>
      </c>
      <c r="S16" s="34" t="str">
        <v>%</v>
      </c>
      <c r="T16" s="34" t="str">
        <v/>
      </c>
      <c r="U16" s="34" t="str">
        <v>SW</v>
      </c>
      <c r="V16" s="34" t="str">
        <v/>
      </c>
      <c r="W16" s="34" t="str">
        <v>-</v>
      </c>
      <c r="X16" s="34" t="str">
        <v>DCS</v>
      </c>
      <c r="Y16" s="34" t="str">
        <v>-</v>
      </c>
      <c r="Z16" s="34" t="str">
        <v>No</v>
      </c>
      <c r="AA16" s="34" t="str">
        <v>AUX</v>
      </c>
      <c r="AB16" s="34" t="str">
        <v/>
      </c>
    </row>
    <row r="17" spans="1:28" ht="60">
      <c r="A17" s="34" t="str">
        <v>CA-741765-001</v>
      </c>
      <c r="B17" s="34" t="str">
        <v>631-LAL  -0521</v>
      </c>
      <c r="C17" s="34" t="str">
        <v>631-L-0521</v>
      </c>
      <c r="D17" s="34" t="str">
        <v>DCS</v>
      </c>
      <c r="E17" s="34" t="str">
        <v>LEVEL ALARM LOW</v>
      </c>
      <c r="F17" s="34" t="str">
        <v>631-D-0127 OW DRN DRM LVL LO</v>
      </c>
      <c r="G17" s="34" t="str">
        <v/>
      </c>
      <c r="H17" s="34" t="str">
        <v/>
      </c>
      <c r="I17" s="34" t="str">
        <v/>
      </c>
      <c r="J17" s="34" t="str">
        <v/>
      </c>
      <c r="K17" s="34" t="str">
        <v/>
      </c>
      <c r="L17" s="34" t="str">
        <v/>
      </c>
      <c r="M17" s="34" t="str">
        <v/>
      </c>
      <c r="N17" s="34" t="str">
        <v/>
      </c>
      <c r="O17" s="34" t="str">
        <v/>
      </c>
      <c r="P17" s="34" t="str">
        <v>15.4</v>
      </c>
      <c r="Q17" s="34" t="str">
        <v/>
      </c>
      <c r="R17" s="34" t="str">
        <v/>
      </c>
      <c r="S17" s="34" t="str">
        <v>%</v>
      </c>
      <c r="T17" s="34" t="str">
        <v/>
      </c>
      <c r="U17" s="34" t="str">
        <v>SW</v>
      </c>
      <c r="V17" s="34" t="str">
        <v/>
      </c>
      <c r="W17" s="34" t="str">
        <v>-</v>
      </c>
      <c r="X17" s="34" t="str">
        <v>DCS</v>
      </c>
      <c r="Y17" s="34" t="str">
        <v>-</v>
      </c>
      <c r="Z17" s="34" t="str">
        <v>No</v>
      </c>
      <c r="AA17" s="34" t="str">
        <v>AUX</v>
      </c>
      <c r="AB17" s="34" t="str">
        <v/>
      </c>
    </row>
    <row r="18" spans="1:28" ht="60">
      <c r="A18" s="34" t="str">
        <v>CA-741765-001</v>
      </c>
      <c r="B18" s="34" t="str">
        <v>631-LY   -0521</v>
      </c>
      <c r="C18" s="34" t="str">
        <v>631-L-0521</v>
      </c>
      <c r="D18" s="34" t="str">
        <v>DCS</v>
      </c>
      <c r="E18" s="34" t="str">
        <v>FUNCTION BLOCK</v>
      </c>
      <c r="F18" s="34" t="str">
        <v>631-D-0127 OW DRN DRM LVL FNC BLK</v>
      </c>
      <c r="G18" s="34" t="str">
        <v/>
      </c>
      <c r="H18" s="34" t="str">
        <v/>
      </c>
      <c r="I18" s="34" t="str">
        <v/>
      </c>
      <c r="J18" s="34" t="str">
        <v/>
      </c>
      <c r="K18" s="34" t="str">
        <v/>
      </c>
      <c r="L18" s="34" t="str">
        <v/>
      </c>
      <c r="M18" s="34" t="str">
        <v/>
      </c>
      <c r="N18" s="34" t="str">
        <v/>
      </c>
      <c r="O18" s="34" t="str">
        <v/>
      </c>
      <c r="P18" s="34" t="str">
        <v/>
      </c>
      <c r="Q18" s="34" t="str">
        <v/>
      </c>
      <c r="R18" s="34" t="str">
        <v/>
      </c>
      <c r="S18" s="34" t="str">
        <v/>
      </c>
      <c r="T18" s="34" t="str">
        <v/>
      </c>
      <c r="U18" s="34" t="str">
        <v>SW</v>
      </c>
      <c r="V18" s="34" t="str">
        <v/>
      </c>
      <c r="W18" s="34" t="str">
        <v>-</v>
      </c>
      <c r="X18" s="34" t="str">
        <v>DCS</v>
      </c>
      <c r="Y18" s="34" t="str">
        <v>-</v>
      </c>
      <c r="Z18" s="34" t="str">
        <v>No</v>
      </c>
      <c r="AA18" s="34" t="str">
        <v>AUX</v>
      </c>
      <c r="AB18" s="34" t="str">
        <v/>
      </c>
    </row>
    <row r="19" spans="1:28" ht="60">
      <c r="A19" s="34" t="str">
        <v>CA-741765-001</v>
      </c>
      <c r="B19" s="34" t="str">
        <v>631-HS   -0523D</v>
      </c>
      <c r="C19" s="34" t="str">
        <v>631-M-0523</v>
      </c>
      <c r="D19" s="34" t="str">
        <v>MCC</v>
      </c>
      <c r="E19" s="34" t="str">
        <v>DCS HAND SWITCH START</v>
      </c>
      <c r="F19" s="34" t="str">
        <v>631-G-0128A OW DRN PMP START</v>
      </c>
      <c r="G19" s="34" t="str">
        <v/>
      </c>
      <c r="H19" s="34" t="str">
        <v/>
      </c>
      <c r="I19" s="34" t="str">
        <v/>
      </c>
      <c r="J19" s="34" t="str">
        <v/>
      </c>
      <c r="K19" s="34" t="str">
        <v/>
      </c>
      <c r="L19" s="34" t="str">
        <v/>
      </c>
      <c r="M19" s="34" t="str">
        <v/>
      </c>
      <c r="N19" s="34" t="str">
        <v/>
      </c>
      <c r="O19" s="34" t="str">
        <v/>
      </c>
      <c r="P19" s="34" t="str">
        <v/>
      </c>
      <c r="Q19" s="34" t="str">
        <v/>
      </c>
      <c r="R19" s="34" t="str">
        <v/>
      </c>
      <c r="S19" s="34" t="str">
        <v/>
      </c>
      <c r="T19" s="34" t="str">
        <v/>
      </c>
      <c r="U19" s="34" t="str">
        <v>DO</v>
      </c>
      <c r="V19" s="34" t="str">
        <v>631-DCS401</v>
      </c>
      <c r="W19" s="34" t="str">
        <v>24VDC</v>
      </c>
      <c r="X19" s="34" t="str">
        <v>DCS</v>
      </c>
      <c r="Y19" s="34" t="str">
        <v>C</v>
      </c>
      <c r="Z19" s="34" t="str">
        <v>No</v>
      </c>
      <c r="AA19" s="34" t="str">
        <v>AUX</v>
      </c>
      <c r="AB19" s="34" t="str">
        <v/>
      </c>
    </row>
    <row r="20" spans="1:28" ht="48">
      <c r="A20" s="34" t="str">
        <v>CA-741765-001</v>
      </c>
      <c r="B20" s="34" t="str">
        <v>631-HS   -0523E</v>
      </c>
      <c r="C20" s="34" t="str">
        <v>631-M-0523</v>
      </c>
      <c r="D20" s="34" t="str">
        <v>MCC</v>
      </c>
      <c r="E20" s="34" t="str">
        <v>DCS HAND SWITCH STOP</v>
      </c>
      <c r="F20" s="34" t="str">
        <v>631-G-0128A OW DRN PMP STP</v>
      </c>
      <c r="G20" s="34" t="str">
        <v/>
      </c>
      <c r="H20" s="34" t="str">
        <v/>
      </c>
      <c r="I20" s="34" t="str">
        <v/>
      </c>
      <c r="J20" s="34" t="str">
        <v/>
      </c>
      <c r="K20" s="34" t="str">
        <v/>
      </c>
      <c r="L20" s="34" t="str">
        <v/>
      </c>
      <c r="M20" s="34" t="str">
        <v/>
      </c>
      <c r="N20" s="34" t="str">
        <v/>
      </c>
      <c r="O20" s="34" t="str">
        <v/>
      </c>
      <c r="P20" s="34" t="str">
        <v/>
      </c>
      <c r="Q20" s="34" t="str">
        <v/>
      </c>
      <c r="R20" s="34" t="str">
        <v/>
      </c>
      <c r="S20" s="34" t="str">
        <v/>
      </c>
      <c r="T20" s="34" t="str">
        <v/>
      </c>
      <c r="U20" s="34" t="str">
        <v>DO</v>
      </c>
      <c r="V20" s="34" t="str">
        <v>631-DCS401</v>
      </c>
      <c r="W20" s="34" t="str">
        <v>24VDC</v>
      </c>
      <c r="X20" s="34" t="str">
        <v>DCS</v>
      </c>
      <c r="Y20" s="34" t="str">
        <v>C</v>
      </c>
      <c r="Z20" s="34" t="str">
        <v>No</v>
      </c>
      <c r="AA20" s="34" t="str">
        <v>AUX</v>
      </c>
      <c r="AB20" s="34" t="str">
        <v/>
      </c>
    </row>
    <row r="21" spans="1:28" ht="60">
      <c r="A21" s="34" t="str">
        <v>CA-741765-001</v>
      </c>
      <c r="B21" s="34" t="str">
        <v>631-XA   -0523A</v>
      </c>
      <c r="C21" s="34" t="str">
        <v>631-M-0523</v>
      </c>
      <c r="D21" s="34" t="str">
        <v>MCC</v>
      </c>
      <c r="E21" s="34" t="str">
        <v>FAULT ALARM/TRIP INDICATION</v>
      </c>
      <c r="F21" s="34" t="str">
        <v>631-G-0128A OW DRN PMP FLT</v>
      </c>
      <c r="G21" s="34" t="str">
        <v/>
      </c>
      <c r="H21" s="34" t="str">
        <v/>
      </c>
      <c r="I21" s="34" t="str">
        <v/>
      </c>
      <c r="J21" s="34" t="str">
        <v/>
      </c>
      <c r="K21" s="34" t="str">
        <v/>
      </c>
      <c r="L21" s="34" t="str">
        <v/>
      </c>
      <c r="M21" s="34" t="str">
        <v/>
      </c>
      <c r="N21" s="34" t="str">
        <v/>
      </c>
      <c r="O21" s="34" t="str">
        <v/>
      </c>
      <c r="P21" s="34" t="str">
        <v/>
      </c>
      <c r="Q21" s="34" t="str">
        <v/>
      </c>
      <c r="R21" s="34" t="str">
        <v/>
      </c>
      <c r="S21" s="34" t="str">
        <v/>
      </c>
      <c r="T21" s="34" t="str">
        <v/>
      </c>
      <c r="U21" s="34" t="str">
        <v>SID</v>
      </c>
      <c r="V21" s="34" t="str">
        <v/>
      </c>
      <c r="W21" s="34" t="str">
        <v>SERIAL</v>
      </c>
      <c r="X21" s="34" t="str">
        <v>DCS</v>
      </c>
      <c r="Y21" s="34" t="str">
        <v>M</v>
      </c>
      <c r="Z21" s="34" t="str">
        <v>No</v>
      </c>
      <c r="AA21" s="34" t="str">
        <v>AUX</v>
      </c>
      <c r="AB21" s="34" t="str">
        <v/>
      </c>
    </row>
    <row r="22" spans="1:28" ht="60">
      <c r="A22" s="34" t="str">
        <v>CA-741765-001</v>
      </c>
      <c r="B22" s="34" t="str">
        <v>631-XA   -0523B</v>
      </c>
      <c r="C22" s="34" t="str">
        <v>631-M-0523</v>
      </c>
      <c r="D22" s="34" t="str">
        <v>MCC</v>
      </c>
      <c r="E22" s="34" t="str">
        <v>FAULT ALARM/TRIP INDICATION</v>
      </c>
      <c r="F22" s="34" t="str">
        <v>631-G-0128A OW DRN PMP TRP</v>
      </c>
      <c r="G22" s="34" t="str">
        <v/>
      </c>
      <c r="H22" s="34" t="str">
        <v/>
      </c>
      <c r="I22" s="34" t="str">
        <v/>
      </c>
      <c r="J22" s="34" t="str">
        <v/>
      </c>
      <c r="K22" s="34" t="str">
        <v/>
      </c>
      <c r="L22" s="34" t="str">
        <v/>
      </c>
      <c r="M22" s="34" t="str">
        <v/>
      </c>
      <c r="N22" s="34" t="str">
        <v/>
      </c>
      <c r="O22" s="34" t="str">
        <v/>
      </c>
      <c r="P22" s="34" t="str">
        <v/>
      </c>
      <c r="Q22" s="34" t="str">
        <v/>
      </c>
      <c r="R22" s="34" t="str">
        <v/>
      </c>
      <c r="S22" s="34" t="str">
        <v/>
      </c>
      <c r="T22" s="34" t="str">
        <v/>
      </c>
      <c r="U22" s="34" t="str">
        <v>SID</v>
      </c>
      <c r="V22" s="34" t="str">
        <v/>
      </c>
      <c r="W22" s="34" t="str">
        <v>SERIAL</v>
      </c>
      <c r="X22" s="34" t="str">
        <v>DCS</v>
      </c>
      <c r="Y22" s="34" t="str">
        <v>M</v>
      </c>
      <c r="Z22" s="34" t="str">
        <v>No</v>
      </c>
      <c r="AA22" s="34" t="str">
        <v>AUX</v>
      </c>
      <c r="AB22" s="34" t="str">
        <v/>
      </c>
    </row>
    <row r="23" spans="1:28" ht="84">
      <c r="A23" s="34" t="str">
        <v>CA-741765-001</v>
      </c>
      <c r="B23" s="34" t="str">
        <v>631-XI   -0523</v>
      </c>
      <c r="C23" s="34" t="str">
        <v>631-M-0523</v>
      </c>
      <c r="D23" s="34" t="str">
        <v>MCC</v>
      </c>
      <c r="E23" s="34" t="str">
        <v>DCS INDICATION AUTO POSITION</v>
      </c>
      <c r="F23" s="34" t="str">
        <v>631-G-0128A OW DRN PMP AUTO POSITION</v>
      </c>
      <c r="G23" s="34" t="str">
        <v/>
      </c>
      <c r="H23" s="34" t="str">
        <v/>
      </c>
      <c r="I23" s="34" t="str">
        <v/>
      </c>
      <c r="J23" s="34" t="str">
        <v/>
      </c>
      <c r="K23" s="34" t="str">
        <v/>
      </c>
      <c r="L23" s="34" t="str">
        <v/>
      </c>
      <c r="M23" s="34" t="str">
        <v/>
      </c>
      <c r="N23" s="34" t="str">
        <v/>
      </c>
      <c r="O23" s="34" t="str">
        <v/>
      </c>
      <c r="P23" s="34" t="str">
        <v/>
      </c>
      <c r="Q23" s="34" t="str">
        <v/>
      </c>
      <c r="R23" s="34" t="str">
        <v/>
      </c>
      <c r="S23" s="34" t="str">
        <v/>
      </c>
      <c r="T23" s="34" t="str">
        <v/>
      </c>
      <c r="U23" s="34" t="str">
        <v>SID</v>
      </c>
      <c r="V23" s="34" t="str">
        <v/>
      </c>
      <c r="W23" s="34" t="str">
        <v>SERIAL</v>
      </c>
      <c r="X23" s="34" t="str">
        <v>DCS</v>
      </c>
      <c r="Y23" s="34" t="str">
        <v>M</v>
      </c>
      <c r="Z23" s="34" t="str">
        <v>No</v>
      </c>
      <c r="AA23" s="34" t="str">
        <v>AUX</v>
      </c>
      <c r="AB23" s="34" t="str">
        <v/>
      </c>
    </row>
    <row r="24" spans="1:28" ht="60">
      <c r="A24" s="34" t="str">
        <v>CA-741765-001</v>
      </c>
      <c r="B24" s="34" t="str">
        <v>631-HS   -0524D</v>
      </c>
      <c r="C24" s="34" t="str">
        <v>631-M-0524</v>
      </c>
      <c r="D24" s="34" t="str">
        <v>MCC</v>
      </c>
      <c r="E24" s="34" t="str">
        <v>DCS HAND SWITCH START</v>
      </c>
      <c r="F24" s="34" t="str">
        <v>631-G-0128B OW DRN PMP START</v>
      </c>
      <c r="G24" s="34" t="str">
        <v/>
      </c>
      <c r="H24" s="34" t="str">
        <v/>
      </c>
      <c r="I24" s="34" t="str">
        <v/>
      </c>
      <c r="J24" s="34" t="str">
        <v/>
      </c>
      <c r="K24" s="34" t="str">
        <v/>
      </c>
      <c r="L24" s="34" t="str">
        <v/>
      </c>
      <c r="M24" s="34" t="str">
        <v/>
      </c>
      <c r="N24" s="34" t="str">
        <v/>
      </c>
      <c r="O24" s="34" t="str">
        <v/>
      </c>
      <c r="P24" s="34" t="str">
        <v/>
      </c>
      <c r="Q24" s="34" t="str">
        <v/>
      </c>
      <c r="R24" s="34" t="str">
        <v/>
      </c>
      <c r="S24" s="34" t="str">
        <v/>
      </c>
      <c r="T24" s="34" t="str">
        <v/>
      </c>
      <c r="U24" s="34" t="str">
        <v>DO</v>
      </c>
      <c r="V24" s="34" t="str">
        <v>631-DCS401</v>
      </c>
      <c r="W24" s="34" t="str">
        <v>24VDC</v>
      </c>
      <c r="X24" s="34" t="str">
        <v>DCS</v>
      </c>
      <c r="Y24" s="34" t="str">
        <v>C</v>
      </c>
      <c r="Z24" s="34" t="str">
        <v>No</v>
      </c>
      <c r="AA24" s="34" t="str">
        <v>AUX</v>
      </c>
      <c r="AB24" s="34" t="str">
        <v/>
      </c>
    </row>
    <row r="25" spans="1:28" ht="48">
      <c r="A25" s="34" t="str">
        <v>CA-741765-001</v>
      </c>
      <c r="B25" s="34" t="str">
        <v>631-HS   -0524E</v>
      </c>
      <c r="C25" s="34" t="str">
        <v>631-M-0524</v>
      </c>
      <c r="D25" s="34" t="str">
        <v>MCC</v>
      </c>
      <c r="E25" s="34" t="str">
        <v>DCS HAND SWITCH STOP</v>
      </c>
      <c r="F25" s="34" t="str">
        <v>631-G-0128B OW DRN PMP STP</v>
      </c>
      <c r="G25" s="34" t="str">
        <v/>
      </c>
      <c r="H25" s="34" t="str">
        <v/>
      </c>
      <c r="I25" s="34" t="str">
        <v/>
      </c>
      <c r="J25" s="34" t="str">
        <v/>
      </c>
      <c r="K25" s="34" t="str">
        <v/>
      </c>
      <c r="L25" s="34" t="str">
        <v/>
      </c>
      <c r="M25" s="34" t="str">
        <v/>
      </c>
      <c r="N25" s="34" t="str">
        <v/>
      </c>
      <c r="O25" s="34" t="str">
        <v/>
      </c>
      <c r="P25" s="34" t="str">
        <v/>
      </c>
      <c r="Q25" s="34" t="str">
        <v/>
      </c>
      <c r="R25" s="34" t="str">
        <v/>
      </c>
      <c r="S25" s="34" t="str">
        <v/>
      </c>
      <c r="T25" s="34" t="str">
        <v/>
      </c>
      <c r="U25" s="34" t="str">
        <v>DO</v>
      </c>
      <c r="V25" s="34" t="str">
        <v>631-DCS401</v>
      </c>
      <c r="W25" s="34" t="str">
        <v>24VDC</v>
      </c>
      <c r="X25" s="34" t="str">
        <v>DCS</v>
      </c>
      <c r="Y25" s="34" t="str">
        <v>C</v>
      </c>
      <c r="Z25" s="34" t="str">
        <v>No</v>
      </c>
      <c r="AA25" s="34" t="str">
        <v>AUX</v>
      </c>
      <c r="AB25" s="34" t="str">
        <v/>
      </c>
    </row>
    <row r="26" spans="1:28" ht="60">
      <c r="A26" s="34" t="str">
        <v>CA-741765-001</v>
      </c>
      <c r="B26" s="34" t="str">
        <v>631-XA   -0524A</v>
      </c>
      <c r="C26" s="34" t="str">
        <v>631-M-0524</v>
      </c>
      <c r="D26" s="34" t="str">
        <v>MCC</v>
      </c>
      <c r="E26" s="34" t="str">
        <v>FAULT ALARM/TRIP INDICATION</v>
      </c>
      <c r="F26" s="34" t="str">
        <v>631-G-0128B OW DRN PMP FLT</v>
      </c>
      <c r="G26" s="34" t="str">
        <v/>
      </c>
      <c r="H26" s="34" t="str">
        <v/>
      </c>
      <c r="I26" s="34" t="str">
        <v/>
      </c>
      <c r="J26" s="34" t="str">
        <v/>
      </c>
      <c r="K26" s="34" t="str">
        <v/>
      </c>
      <c r="L26" s="34" t="str">
        <v/>
      </c>
      <c r="M26" s="34" t="str">
        <v/>
      </c>
      <c r="N26" s="34" t="str">
        <v/>
      </c>
      <c r="O26" s="34" t="str">
        <v/>
      </c>
      <c r="P26" s="34" t="str">
        <v/>
      </c>
      <c r="Q26" s="34" t="str">
        <v/>
      </c>
      <c r="R26" s="34" t="str">
        <v/>
      </c>
      <c r="S26" s="34" t="str">
        <v/>
      </c>
      <c r="T26" s="34" t="str">
        <v/>
      </c>
      <c r="U26" s="34" t="str">
        <v>SID</v>
      </c>
      <c r="V26" s="34" t="str">
        <v/>
      </c>
      <c r="W26" s="34" t="str">
        <v>SERIAL</v>
      </c>
      <c r="X26" s="34" t="str">
        <v>DCS</v>
      </c>
      <c r="Y26" s="34" t="str">
        <v>M</v>
      </c>
      <c r="Z26" s="34" t="str">
        <v>No</v>
      </c>
      <c r="AA26" s="34" t="str">
        <v>AUX</v>
      </c>
      <c r="AB26" s="34" t="str">
        <v/>
      </c>
    </row>
    <row r="27" spans="1:28" ht="60">
      <c r="A27" s="34" t="str">
        <v>CA-741765-001</v>
      </c>
      <c r="B27" s="34" t="str">
        <v>631-XA   -0524B</v>
      </c>
      <c r="C27" s="34" t="str">
        <v>631-M-0524</v>
      </c>
      <c r="D27" s="34" t="str">
        <v>MCC</v>
      </c>
      <c r="E27" s="34" t="str">
        <v>FAULT ALARM/TRIP INDICATION</v>
      </c>
      <c r="F27" s="34" t="str">
        <v>631-G-0128B OW DRN PMP TRP</v>
      </c>
      <c r="G27" s="34" t="str">
        <v/>
      </c>
      <c r="H27" s="34" t="str">
        <v/>
      </c>
      <c r="I27" s="34" t="str">
        <v/>
      </c>
      <c r="J27" s="34" t="str">
        <v/>
      </c>
      <c r="K27" s="34" t="str">
        <v/>
      </c>
      <c r="L27" s="34" t="str">
        <v/>
      </c>
      <c r="M27" s="34" t="str">
        <v/>
      </c>
      <c r="N27" s="34" t="str">
        <v/>
      </c>
      <c r="O27" s="34" t="str">
        <v/>
      </c>
      <c r="P27" s="34" t="str">
        <v/>
      </c>
      <c r="Q27" s="34" t="str">
        <v/>
      </c>
      <c r="R27" s="34" t="str">
        <v/>
      </c>
      <c r="S27" s="34" t="str">
        <v/>
      </c>
      <c r="T27" s="34" t="str">
        <v/>
      </c>
      <c r="U27" s="34" t="str">
        <v>SID</v>
      </c>
      <c r="V27" s="34" t="str">
        <v/>
      </c>
      <c r="W27" s="34" t="str">
        <v>SERIAL</v>
      </c>
      <c r="X27" s="34" t="str">
        <v>DCS</v>
      </c>
      <c r="Y27" s="34" t="str">
        <v>M</v>
      </c>
      <c r="Z27" s="34" t="str">
        <v>No</v>
      </c>
      <c r="AA27" s="34" t="str">
        <v>AUX</v>
      </c>
      <c r="AB27" s="34" t="str">
        <v/>
      </c>
    </row>
    <row r="28" spans="1:28" ht="84">
      <c r="A28" s="34" t="str">
        <v>CA-741765-001</v>
      </c>
      <c r="B28" s="34" t="str">
        <v>631-XI   -0524</v>
      </c>
      <c r="C28" s="34" t="str">
        <v>631-M-0524</v>
      </c>
      <c r="D28" s="34" t="str">
        <v>MCC</v>
      </c>
      <c r="E28" s="34" t="str">
        <v>DCS INDICATION AUTO POSITION</v>
      </c>
      <c r="F28" s="34" t="str">
        <v>631-G-0128B OW DRN PMP AUTO POSITION</v>
      </c>
      <c r="G28" s="34" t="str">
        <v/>
      </c>
      <c r="H28" s="34" t="str">
        <v/>
      </c>
      <c r="I28" s="34" t="str">
        <v/>
      </c>
      <c r="J28" s="34" t="str">
        <v/>
      </c>
      <c r="K28" s="34" t="str">
        <v/>
      </c>
      <c r="L28" s="34" t="str">
        <v/>
      </c>
      <c r="M28" s="34" t="str">
        <v/>
      </c>
      <c r="N28" s="34" t="str">
        <v/>
      </c>
      <c r="O28" s="34" t="str">
        <v/>
      </c>
      <c r="P28" s="34" t="str">
        <v/>
      </c>
      <c r="Q28" s="34" t="str">
        <v/>
      </c>
      <c r="R28" s="34" t="str">
        <v/>
      </c>
      <c r="S28" s="34" t="str">
        <v/>
      </c>
      <c r="T28" s="34" t="str">
        <v/>
      </c>
      <c r="U28" s="34" t="str">
        <v>SID</v>
      </c>
      <c r="V28" s="34" t="str">
        <v/>
      </c>
      <c r="W28" s="34" t="str">
        <v>SERIAL</v>
      </c>
      <c r="X28" s="34" t="str">
        <v>DCS</v>
      </c>
      <c r="Y28" s="34" t="str">
        <v>M</v>
      </c>
      <c r="Z28" s="34" t="str">
        <v>No</v>
      </c>
      <c r="AA28" s="34" t="str">
        <v>AUX</v>
      </c>
      <c r="AB28" s="34" t="str">
        <v/>
      </c>
    </row>
    <row r="29" spans="1:28" ht="84">
      <c r="A29" s="34" t="str">
        <v>CA-741765-001</v>
      </c>
      <c r="B29" s="34" t="str">
        <v>631-PIT  -0521</v>
      </c>
      <c r="C29" s="34" t="str">
        <v>631-P-0521</v>
      </c>
      <c r="D29" s="34" t="str">
        <v>FIELD</v>
      </c>
      <c r="E29" s="34" t="str">
        <v>PRESSURE INDICATING TRANSMITTER</v>
      </c>
      <c r="F29" s="34" t="str">
        <v>631-G-0128A/B OW DRN PMP DISCH PR</v>
      </c>
      <c r="G29" s="34" t="str">
        <v>0</v>
      </c>
      <c r="H29" s="34" t="str">
        <v>150</v>
      </c>
      <c r="I29" s="34" t="str">
        <v>psiG</v>
      </c>
      <c r="J29" s="34" t="str">
        <v>0</v>
      </c>
      <c r="K29" s="34" t="str">
        <v>150</v>
      </c>
      <c r="L29" s="34" t="str">
        <v>psiG</v>
      </c>
      <c r="M29" s="34" t="str">
        <v/>
      </c>
      <c r="N29" s="34" t="str">
        <v/>
      </c>
      <c r="O29" s="34" t="str">
        <v/>
      </c>
      <c r="P29" s="34" t="str">
        <v/>
      </c>
      <c r="Q29" s="34" t="str">
        <v/>
      </c>
      <c r="R29" s="34" t="str">
        <v/>
      </c>
      <c r="S29" s="34" t="str">
        <v/>
      </c>
      <c r="T29" s="34" t="str">
        <v/>
      </c>
      <c r="U29" s="34" t="str">
        <v>HART AI</v>
      </c>
      <c r="V29" s="34" t="str">
        <v>631-DCS401</v>
      </c>
      <c r="W29" s="34" t="str">
        <v>4-20mA</v>
      </c>
      <c r="X29" s="34" t="str">
        <v>DCS</v>
      </c>
      <c r="Y29" s="34" t="str">
        <v>H</v>
      </c>
      <c r="Z29" s="34" t="str">
        <v>No</v>
      </c>
      <c r="AA29" s="34" t="str">
        <v>AUX</v>
      </c>
      <c r="AB29" s="34" t="str">
        <v/>
      </c>
    </row>
    <row r="30" spans="1:28" ht="84">
      <c r="A30" s="34" t="str">
        <v>CA-741765-001</v>
      </c>
      <c r="B30" s="34" t="str">
        <v>631-PI   -0521</v>
      </c>
      <c r="C30" s="34" t="str">
        <v>631-P-0521</v>
      </c>
      <c r="D30" s="34" t="str">
        <v>DCS</v>
      </c>
      <c r="E30" s="34" t="str">
        <v>DCS PRESSURE INDICATION</v>
      </c>
      <c r="F30" s="34" t="str">
        <v>631-G-0128A/B OW DRN PMP DISCH PR</v>
      </c>
      <c r="G30" s="34" t="str">
        <v/>
      </c>
      <c r="H30" s="34" t="str">
        <v/>
      </c>
      <c r="I30" s="34" t="str">
        <v/>
      </c>
      <c r="J30" s="34" t="str">
        <v/>
      </c>
      <c r="K30" s="34" t="str">
        <v/>
      </c>
      <c r="L30" s="34" t="str">
        <v/>
      </c>
      <c r="M30" s="34" t="str">
        <v/>
      </c>
      <c r="N30" s="34" t="str">
        <v/>
      </c>
      <c r="O30" s="34" t="str">
        <v/>
      </c>
      <c r="P30" s="34" t="str">
        <v/>
      </c>
      <c r="Q30" s="34" t="str">
        <v/>
      </c>
      <c r="R30" s="34" t="str">
        <v/>
      </c>
      <c r="S30" s="34" t="str">
        <v/>
      </c>
      <c r="T30" s="34" t="str">
        <v/>
      </c>
      <c r="U30" s="34" t="str">
        <v>SW</v>
      </c>
      <c r="V30" s="34" t="str">
        <v/>
      </c>
      <c r="W30" s="34" t="str">
        <v>-</v>
      </c>
      <c r="X30" s="34" t="str">
        <v>DCS</v>
      </c>
      <c r="Y30" s="34" t="str">
        <v>-</v>
      </c>
      <c r="Z30" s="34" t="str">
        <v>No</v>
      </c>
      <c r="AA30" s="34" t="str">
        <v>AUX</v>
      </c>
      <c r="AB30" s="34" t="str">
        <v/>
      </c>
    </row>
    <row r="31" spans="1:28" ht="72">
      <c r="A31" s="34" t="str">
        <v>CA-741765-001</v>
      </c>
      <c r="B31" s="34" t="str">
        <v>631-PIT  -0524</v>
      </c>
      <c r="C31" s="34" t="str">
        <v>631-P-0524</v>
      </c>
      <c r="D31" s="34" t="str">
        <v>FIELD</v>
      </c>
      <c r="E31" s="34" t="str">
        <v>PRESSURE INDICATING TRANSMITTER</v>
      </c>
      <c r="F31" s="34" t="str">
        <v>631-G-0128A OW DRN PMP DISCH PR</v>
      </c>
      <c r="G31" s="34" t="str">
        <v>0</v>
      </c>
      <c r="H31" s="34" t="str">
        <v>150</v>
      </c>
      <c r="I31" s="34" t="str">
        <v>psiG</v>
      </c>
      <c r="J31" s="34" t="str">
        <v>0</v>
      </c>
      <c r="K31" s="34" t="str">
        <v>150</v>
      </c>
      <c r="L31" s="34" t="str">
        <v>psiG</v>
      </c>
      <c r="M31" s="34" t="str">
        <v/>
      </c>
      <c r="N31" s="34" t="str">
        <v/>
      </c>
      <c r="O31" s="34" t="str">
        <v/>
      </c>
      <c r="P31" s="34" t="str">
        <v/>
      </c>
      <c r="Q31" s="34" t="str">
        <v/>
      </c>
      <c r="R31" s="34" t="str">
        <v/>
      </c>
      <c r="S31" s="34" t="str">
        <v/>
      </c>
      <c r="T31" s="34" t="str">
        <v/>
      </c>
      <c r="U31" s="34" t="str">
        <v>HART AI</v>
      </c>
      <c r="V31" s="34" t="str">
        <v>631-DCS401</v>
      </c>
      <c r="W31" s="34" t="str">
        <v>4-20mA</v>
      </c>
      <c r="X31" s="34" t="str">
        <v>DCS</v>
      </c>
      <c r="Y31" s="34" t="str">
        <v>H</v>
      </c>
      <c r="Z31" s="34" t="str">
        <v>No</v>
      </c>
      <c r="AA31" s="34" t="str">
        <v>AUX</v>
      </c>
      <c r="AB31" s="34" t="str">
        <v/>
      </c>
    </row>
    <row r="32" spans="1:28" ht="72">
      <c r="A32" s="34" t="str">
        <v>CA-741765-001</v>
      </c>
      <c r="B32" s="34" t="str">
        <v>631-PI   -0524</v>
      </c>
      <c r="C32" s="34" t="str">
        <v>631-P-0524</v>
      </c>
      <c r="D32" s="34" t="str">
        <v>DCS</v>
      </c>
      <c r="E32" s="34" t="str">
        <v>DCS PRESSURE INDICATION</v>
      </c>
      <c r="F32" s="34" t="str">
        <v>631-G-0128A OW DRN PMP DISCH PR</v>
      </c>
      <c r="G32" s="34" t="str">
        <v/>
      </c>
      <c r="H32" s="34" t="str">
        <v/>
      </c>
      <c r="I32" s="34" t="str">
        <v/>
      </c>
      <c r="J32" s="34" t="str">
        <v/>
      </c>
      <c r="K32" s="34" t="str">
        <v/>
      </c>
      <c r="L32" s="34" t="str">
        <v/>
      </c>
      <c r="M32" s="34" t="str">
        <v/>
      </c>
      <c r="N32" s="34" t="str">
        <v/>
      </c>
      <c r="O32" s="34" t="str">
        <v/>
      </c>
      <c r="P32" s="34" t="str">
        <v/>
      </c>
      <c r="Q32" s="34" t="str">
        <v/>
      </c>
      <c r="R32" s="34" t="str">
        <v/>
      </c>
      <c r="S32" s="34" t="str">
        <v/>
      </c>
      <c r="T32" s="34" t="str">
        <v/>
      </c>
      <c r="U32" s="34" t="str">
        <v>SW</v>
      </c>
      <c r="V32" s="34" t="str">
        <v/>
      </c>
      <c r="W32" s="34" t="str">
        <v>-</v>
      </c>
      <c r="X32" s="34" t="str">
        <v>DCS</v>
      </c>
      <c r="Y32" s="34" t="str">
        <v>-</v>
      </c>
      <c r="Z32" s="34" t="str">
        <v>No</v>
      </c>
      <c r="AA32" s="34" t="str">
        <v>AUX</v>
      </c>
      <c r="AB32" s="34" t="str">
        <v/>
      </c>
    </row>
    <row r="33" spans="1:28" ht="72">
      <c r="A33" s="34" t="str">
        <v>CA-741765-001</v>
      </c>
      <c r="B33" s="34" t="str">
        <v>631-PAH  -0524</v>
      </c>
      <c r="C33" s="34" t="str">
        <v>631-P-0524</v>
      </c>
      <c r="D33" s="34" t="str">
        <v>DCS</v>
      </c>
      <c r="E33" s="34" t="str">
        <v>PRESSURE ALARM HIGH</v>
      </c>
      <c r="F33" s="34" t="str">
        <v>631-G-0128A OW DRN PMP DISCH PR HI</v>
      </c>
      <c r="G33" s="34" t="str">
        <v/>
      </c>
      <c r="H33" s="34" t="str">
        <v/>
      </c>
      <c r="I33" s="34" t="str">
        <v/>
      </c>
      <c r="J33" s="34" t="str">
        <v/>
      </c>
      <c r="K33" s="34" t="str">
        <v/>
      </c>
      <c r="L33" s="34" t="str">
        <v/>
      </c>
      <c r="M33" s="34" t="str">
        <v>105</v>
      </c>
      <c r="N33" s="34" t="str">
        <v/>
      </c>
      <c r="O33" s="34" t="str">
        <v/>
      </c>
      <c r="P33" s="34" t="str">
        <v/>
      </c>
      <c r="Q33" s="34" t="str">
        <v/>
      </c>
      <c r="R33" s="34" t="str">
        <v/>
      </c>
      <c r="S33" s="34" t="str">
        <v>psiG</v>
      </c>
      <c r="T33" s="34" t="str">
        <v/>
      </c>
      <c r="U33" s="34" t="str">
        <v>SW</v>
      </c>
      <c r="V33" s="34" t="str">
        <v/>
      </c>
      <c r="W33" s="34" t="str">
        <v>-</v>
      </c>
      <c r="X33" s="34" t="str">
        <v>DCS</v>
      </c>
      <c r="Y33" s="34" t="str">
        <v>-</v>
      </c>
      <c r="Z33" s="34" t="str">
        <v>No</v>
      </c>
      <c r="AA33" s="34" t="str">
        <v>AUX</v>
      </c>
      <c r="AB33" s="34" t="str">
        <v/>
      </c>
    </row>
    <row r="34" spans="1:28" ht="72">
      <c r="A34" s="34" t="str">
        <v>CA-741765-001</v>
      </c>
      <c r="B34" s="34" t="str">
        <v>631-PAL  -0524</v>
      </c>
      <c r="C34" s="34" t="str">
        <v>631-P-0524</v>
      </c>
      <c r="D34" s="34" t="str">
        <v>DCS</v>
      </c>
      <c r="E34" s="34" t="str">
        <v>PRESSURE ALARM LOW</v>
      </c>
      <c r="F34" s="34" t="str">
        <v>631-G-0128A OW DRN PMP DISCH PR LO</v>
      </c>
      <c r="G34" s="34" t="str">
        <v/>
      </c>
      <c r="H34" s="34" t="str">
        <v/>
      </c>
      <c r="I34" s="34" t="str">
        <v/>
      </c>
      <c r="J34" s="34" t="str">
        <v/>
      </c>
      <c r="K34" s="34" t="str">
        <v/>
      </c>
      <c r="L34" s="34" t="str">
        <v/>
      </c>
      <c r="M34" s="34" t="str">
        <v/>
      </c>
      <c r="N34" s="34" t="str">
        <v/>
      </c>
      <c r="O34" s="34" t="str">
        <v/>
      </c>
      <c r="P34" s="34" t="str">
        <v>15</v>
      </c>
      <c r="Q34" s="34" t="str">
        <v/>
      </c>
      <c r="R34" s="34" t="str">
        <v/>
      </c>
      <c r="S34" s="34" t="str">
        <v>psiG</v>
      </c>
      <c r="T34" s="34" t="str">
        <v/>
      </c>
      <c r="U34" s="34" t="str">
        <v>SW</v>
      </c>
      <c r="V34" s="34" t="str">
        <v/>
      </c>
      <c r="W34" s="34" t="str">
        <v>-</v>
      </c>
      <c r="X34" s="34" t="str">
        <v>DCS</v>
      </c>
      <c r="Y34" s="34" t="str">
        <v>-</v>
      </c>
      <c r="Z34" s="34" t="str">
        <v>No</v>
      </c>
      <c r="AA34" s="34" t="str">
        <v>AUX</v>
      </c>
      <c r="AB34" s="34" t="str">
        <v/>
      </c>
    </row>
    <row r="35" spans="1:28" ht="72">
      <c r="A35" s="34" t="str">
        <v>CA-741765-001</v>
      </c>
      <c r="B35" s="34" t="str">
        <v>631-PIT  -0525</v>
      </c>
      <c r="C35" s="34" t="str">
        <v>631-P-0525</v>
      </c>
      <c r="D35" s="34" t="str">
        <v>FIELD</v>
      </c>
      <c r="E35" s="34" t="str">
        <v>PRESSURE INDICATING TRANSMITTER</v>
      </c>
      <c r="F35" s="34" t="str">
        <v>631-G-0128B OW DRN PMP DISCH PR</v>
      </c>
      <c r="G35" s="34" t="str">
        <v>0</v>
      </c>
      <c r="H35" s="34" t="str">
        <v>150</v>
      </c>
      <c r="I35" s="34" t="str">
        <v>psiG</v>
      </c>
      <c r="J35" s="34" t="str">
        <v>0</v>
      </c>
      <c r="K35" s="34" t="str">
        <v>150</v>
      </c>
      <c r="L35" s="34" t="str">
        <v>psiG</v>
      </c>
      <c r="M35" s="34" t="str">
        <v/>
      </c>
      <c r="N35" s="34" t="str">
        <v/>
      </c>
      <c r="O35" s="34" t="str">
        <v/>
      </c>
      <c r="P35" s="34" t="str">
        <v/>
      </c>
      <c r="Q35" s="34" t="str">
        <v/>
      </c>
      <c r="R35" s="34" t="str">
        <v/>
      </c>
      <c r="S35" s="34" t="str">
        <v/>
      </c>
      <c r="T35" s="34" t="str">
        <v/>
      </c>
      <c r="U35" s="34" t="str">
        <v>HART AI</v>
      </c>
      <c r="V35" s="34" t="str">
        <v>631-DCS401</v>
      </c>
      <c r="W35" s="34" t="str">
        <v>4-20mA</v>
      </c>
      <c r="X35" s="34" t="str">
        <v>DCS</v>
      </c>
      <c r="Y35" s="34" t="str">
        <v>H</v>
      </c>
      <c r="Z35" s="34" t="str">
        <v>No</v>
      </c>
      <c r="AA35" s="34" t="str">
        <v>AUX</v>
      </c>
      <c r="AB35" s="34" t="str">
        <v/>
      </c>
    </row>
    <row r="36" spans="1:28" ht="72">
      <c r="A36" s="34" t="str">
        <v>CA-741765-001</v>
      </c>
      <c r="B36" s="34" t="str">
        <v>631-PI   -0525</v>
      </c>
      <c r="C36" s="34" t="str">
        <v>631-P-0525</v>
      </c>
      <c r="D36" s="34" t="str">
        <v>DCS</v>
      </c>
      <c r="E36" s="34" t="str">
        <v>DCS PRESSURE INDICATION</v>
      </c>
      <c r="F36" s="34" t="str">
        <v>631-G-0128B OW DRN PMP DISCH PR</v>
      </c>
      <c r="G36" s="34" t="str">
        <v/>
      </c>
      <c r="H36" s="34" t="str">
        <v/>
      </c>
      <c r="I36" s="34" t="str">
        <v/>
      </c>
      <c r="J36" s="34" t="str">
        <v/>
      </c>
      <c r="K36" s="34" t="str">
        <v/>
      </c>
      <c r="L36" s="34" t="str">
        <v/>
      </c>
      <c r="M36" s="34" t="str">
        <v/>
      </c>
      <c r="N36" s="34" t="str">
        <v/>
      </c>
      <c r="O36" s="34" t="str">
        <v/>
      </c>
      <c r="P36" s="34" t="str">
        <v/>
      </c>
      <c r="Q36" s="34" t="str">
        <v/>
      </c>
      <c r="R36" s="34" t="str">
        <v/>
      </c>
      <c r="S36" s="34" t="str">
        <v/>
      </c>
      <c r="T36" s="34" t="str">
        <v/>
      </c>
      <c r="U36" s="34" t="str">
        <v>SW</v>
      </c>
      <c r="V36" s="34" t="str">
        <v/>
      </c>
      <c r="W36" s="34" t="str">
        <v>-</v>
      </c>
      <c r="X36" s="34" t="str">
        <v>DCS</v>
      </c>
      <c r="Y36" s="34" t="str">
        <v>-</v>
      </c>
      <c r="Z36" s="34" t="str">
        <v>No</v>
      </c>
      <c r="AA36" s="34" t="str">
        <v>AUX</v>
      </c>
      <c r="AB36" s="34" t="str">
        <v/>
      </c>
    </row>
    <row r="37" spans="1:28" ht="72">
      <c r="A37" s="34" t="str">
        <v>CA-741765-001</v>
      </c>
      <c r="B37" s="34" t="str">
        <v>631-PAH  -0525</v>
      </c>
      <c r="C37" s="34" t="str">
        <v>631-P-0525</v>
      </c>
      <c r="D37" s="34" t="str">
        <v>DCS</v>
      </c>
      <c r="E37" s="34" t="str">
        <v>PRESSURE ALARM HIGH</v>
      </c>
      <c r="F37" s="34" t="str">
        <v>631-G-0128B OW DRN PMP DISCH PR HI</v>
      </c>
      <c r="G37" s="34" t="str">
        <v/>
      </c>
      <c r="H37" s="34" t="str">
        <v/>
      </c>
      <c r="I37" s="34" t="str">
        <v/>
      </c>
      <c r="J37" s="34" t="str">
        <v/>
      </c>
      <c r="K37" s="34" t="str">
        <v/>
      </c>
      <c r="L37" s="34" t="str">
        <v/>
      </c>
      <c r="M37" s="34" t="str">
        <v>105</v>
      </c>
      <c r="N37" s="34" t="str">
        <v/>
      </c>
      <c r="O37" s="34" t="str">
        <v/>
      </c>
      <c r="P37" s="34" t="str">
        <v/>
      </c>
      <c r="Q37" s="34" t="str">
        <v/>
      </c>
      <c r="R37" s="34" t="str">
        <v/>
      </c>
      <c r="S37" s="34" t="str">
        <v>psiG</v>
      </c>
      <c r="T37" s="34" t="str">
        <v/>
      </c>
      <c r="U37" s="34" t="str">
        <v>SW</v>
      </c>
      <c r="V37" s="34" t="str">
        <v/>
      </c>
      <c r="W37" s="34" t="str">
        <v>-</v>
      </c>
      <c r="X37" s="34" t="str">
        <v>DCS</v>
      </c>
      <c r="Y37" s="34" t="str">
        <v>-</v>
      </c>
      <c r="Z37" s="34" t="str">
        <v>No</v>
      </c>
      <c r="AA37" s="34" t="str">
        <v>AUX</v>
      </c>
      <c r="AB37" s="34" t="str">
        <v/>
      </c>
    </row>
    <row r="38" spans="1:28" ht="72">
      <c r="A38" s="34" t="str">
        <v>CA-741765-001</v>
      </c>
      <c r="B38" s="34" t="str">
        <v>631-PAL  -0525</v>
      </c>
      <c r="C38" s="34" t="str">
        <v>631-P-0525</v>
      </c>
      <c r="D38" s="34" t="str">
        <v>DCS</v>
      </c>
      <c r="E38" s="34" t="str">
        <v>PRESSURE ALARM LOW</v>
      </c>
      <c r="F38" s="34" t="str">
        <v>631-G-0128B OW DRN PMP DISCH PR LO</v>
      </c>
      <c r="G38" s="34" t="str">
        <v/>
      </c>
      <c r="H38" s="34" t="str">
        <v/>
      </c>
      <c r="I38" s="34" t="str">
        <v/>
      </c>
      <c r="J38" s="34" t="str">
        <v/>
      </c>
      <c r="K38" s="34" t="str">
        <v/>
      </c>
      <c r="L38" s="34" t="str">
        <v/>
      </c>
      <c r="M38" s="34" t="str">
        <v/>
      </c>
      <c r="N38" s="34" t="str">
        <v/>
      </c>
      <c r="O38" s="34" t="str">
        <v/>
      </c>
      <c r="P38" s="34" t="str">
        <v>15</v>
      </c>
      <c r="Q38" s="34" t="str">
        <v/>
      </c>
      <c r="R38" s="34" t="str">
        <v/>
      </c>
      <c r="S38" s="34" t="str">
        <v>psiG</v>
      </c>
      <c r="T38" s="34" t="str">
        <v/>
      </c>
      <c r="U38" s="34" t="str">
        <v>SW</v>
      </c>
      <c r="V38" s="34" t="str">
        <v/>
      </c>
      <c r="W38" s="34" t="str">
        <v>-</v>
      </c>
      <c r="X38" s="34" t="str">
        <v>DCS</v>
      </c>
      <c r="Y38" s="34" t="str">
        <v>-</v>
      </c>
      <c r="Z38" s="34" t="str">
        <v>No</v>
      </c>
      <c r="AA38" s="34" t="str">
        <v>AUX</v>
      </c>
      <c r="AB38" s="34" t="str">
        <v/>
      </c>
    </row>
    <row r="39" spans="1:28" ht="60">
      <c r="A39" s="34" t="str">
        <v>CA-741765-001</v>
      </c>
      <c r="B39" s="34" t="str">
        <v>631-PDIT -0528</v>
      </c>
      <c r="C39" s="34" t="str">
        <v>631-P-0528</v>
      </c>
      <c r="D39" s="34" t="str">
        <v>FIELD</v>
      </c>
      <c r="E39" s="34" t="str">
        <v>D/P TRANSMITTER</v>
      </c>
      <c r="F39" s="34" t="str">
        <v>631-G-0128A OW DRN PMP SUC STNR DP</v>
      </c>
      <c r="G39" s="34" t="str">
        <v>0</v>
      </c>
      <c r="H39" s="34" t="str">
        <v>7</v>
      </c>
      <c r="I39" s="34" t="str">
        <v>psi</v>
      </c>
      <c r="J39" s="34" t="str">
        <v>0</v>
      </c>
      <c r="K39" s="34" t="str">
        <v>7</v>
      </c>
      <c r="L39" s="34" t="str">
        <v>psi</v>
      </c>
      <c r="M39" s="34" t="str">
        <v/>
      </c>
      <c r="N39" s="34" t="str">
        <v/>
      </c>
      <c r="O39" s="34" t="str">
        <v/>
      </c>
      <c r="P39" s="34" t="str">
        <v/>
      </c>
      <c r="Q39" s="34" t="str">
        <v/>
      </c>
      <c r="R39" s="34" t="str">
        <v/>
      </c>
      <c r="S39" s="34" t="str">
        <v/>
      </c>
      <c r="T39" s="34" t="str">
        <v/>
      </c>
      <c r="U39" s="34" t="str">
        <v>HART AI</v>
      </c>
      <c r="V39" s="34" t="str">
        <v>631-DCS401</v>
      </c>
      <c r="W39" s="34" t="str">
        <v>4-20mA</v>
      </c>
      <c r="X39" s="34" t="str">
        <v>DCS</v>
      </c>
      <c r="Y39" s="34" t="str">
        <v>H</v>
      </c>
      <c r="Z39" s="34" t="str">
        <v>No</v>
      </c>
      <c r="AA39" s="34" t="str">
        <v>AUX</v>
      </c>
      <c r="AB39" s="34" t="str">
        <v/>
      </c>
    </row>
    <row r="40" spans="1:28" ht="60">
      <c r="A40" s="34" t="str">
        <v>CA-741765-001</v>
      </c>
      <c r="B40" s="34" t="str">
        <v>631-PDI  -0528</v>
      </c>
      <c r="C40" s="34" t="str">
        <v>631-P-0528</v>
      </c>
      <c r="D40" s="34" t="str">
        <v>DCS</v>
      </c>
      <c r="E40" s="34" t="str">
        <v>DIFF PRESSURE INDICATION</v>
      </c>
      <c r="F40" s="34" t="str">
        <v>631-G-0128A OW DRN PMP SUC STNR DP</v>
      </c>
      <c r="G40" s="34" t="str">
        <v/>
      </c>
      <c r="H40" s="34" t="str">
        <v/>
      </c>
      <c r="I40" s="34" t="str">
        <v/>
      </c>
      <c r="J40" s="34" t="str">
        <v/>
      </c>
      <c r="K40" s="34" t="str">
        <v/>
      </c>
      <c r="L40" s="34" t="str">
        <v/>
      </c>
      <c r="M40" s="34" t="str">
        <v/>
      </c>
      <c r="N40" s="34" t="str">
        <v/>
      </c>
      <c r="O40" s="34" t="str">
        <v/>
      </c>
      <c r="P40" s="34" t="str">
        <v/>
      </c>
      <c r="Q40" s="34" t="str">
        <v/>
      </c>
      <c r="R40" s="34" t="str">
        <v/>
      </c>
      <c r="S40" s="34" t="str">
        <v/>
      </c>
      <c r="T40" s="34" t="str">
        <v/>
      </c>
      <c r="U40" s="34" t="str">
        <v>SW</v>
      </c>
      <c r="V40" s="34" t="str">
        <v/>
      </c>
      <c r="W40" s="34" t="str">
        <v>-</v>
      </c>
      <c r="X40" s="34" t="str">
        <v>DCS</v>
      </c>
      <c r="Y40" s="34" t="str">
        <v>-</v>
      </c>
      <c r="Z40" s="34" t="str">
        <v>No</v>
      </c>
      <c r="AA40" s="34" t="str">
        <v>AUX</v>
      </c>
      <c r="AB40" s="34" t="str">
        <v/>
      </c>
    </row>
    <row r="41" spans="1:28" ht="72">
      <c r="A41" s="34" t="str">
        <v>CA-741765-001</v>
      </c>
      <c r="B41" s="34" t="str">
        <v>631-PDAH -0528</v>
      </c>
      <c r="C41" s="34" t="str">
        <v>631-P-0528</v>
      </c>
      <c r="D41" s="34" t="str">
        <v>DCS</v>
      </c>
      <c r="E41" s="34" t="str">
        <v>DIFF PRESSURE ALARM HIGH</v>
      </c>
      <c r="F41" s="34" t="str">
        <v>631-G-0128A OW DRN PMP SUC STNR DP HI</v>
      </c>
      <c r="G41" s="34" t="str">
        <v/>
      </c>
      <c r="H41" s="34" t="str">
        <v/>
      </c>
      <c r="I41" s="34" t="str">
        <v/>
      </c>
      <c r="J41" s="34" t="str">
        <v/>
      </c>
      <c r="K41" s="34" t="str">
        <v/>
      </c>
      <c r="L41" s="34" t="str">
        <v/>
      </c>
      <c r="M41" s="34" t="str">
        <v>5</v>
      </c>
      <c r="N41" s="34" t="str">
        <v/>
      </c>
      <c r="O41" s="34" t="str">
        <v/>
      </c>
      <c r="P41" s="34" t="str">
        <v/>
      </c>
      <c r="Q41" s="34" t="str">
        <v/>
      </c>
      <c r="R41" s="34" t="str">
        <v/>
      </c>
      <c r="S41" s="34" t="str">
        <v>psi</v>
      </c>
      <c r="T41" s="34" t="str">
        <v/>
      </c>
      <c r="U41" s="34" t="str">
        <v>SW</v>
      </c>
      <c r="V41" s="34" t="str">
        <v/>
      </c>
      <c r="W41" s="34" t="str">
        <v>-</v>
      </c>
      <c r="X41" s="34" t="str">
        <v>DCS</v>
      </c>
      <c r="Y41" s="34" t="str">
        <v>-</v>
      </c>
      <c r="Z41" s="34" t="str">
        <v>No</v>
      </c>
      <c r="AA41" s="34" t="str">
        <v>AUX</v>
      </c>
      <c r="AB41" s="34" t="str">
        <v/>
      </c>
    </row>
    <row r="42" spans="1:28" ht="60">
      <c r="A42" s="34" t="str">
        <v>CA-741765-001</v>
      </c>
      <c r="B42" s="34" t="str">
        <v>631-PDIT -0529</v>
      </c>
      <c r="C42" s="34" t="str">
        <v>631-P-0529</v>
      </c>
      <c r="D42" s="34" t="str">
        <v>FIELD</v>
      </c>
      <c r="E42" s="34" t="str">
        <v>D/P TRANSMITTER</v>
      </c>
      <c r="F42" s="34" t="str">
        <v>631-G-0128B OW DRN PMP SUC STNR DP</v>
      </c>
      <c r="G42" s="34" t="str">
        <v>0</v>
      </c>
      <c r="H42" s="34" t="str">
        <v>7</v>
      </c>
      <c r="I42" s="34" t="str">
        <v>psi</v>
      </c>
      <c r="J42" s="34" t="str">
        <v>0</v>
      </c>
      <c r="K42" s="34" t="str">
        <v>7</v>
      </c>
      <c r="L42" s="34" t="str">
        <v>psi</v>
      </c>
      <c r="M42" s="34" t="str">
        <v/>
      </c>
      <c r="N42" s="34" t="str">
        <v/>
      </c>
      <c r="O42" s="34" t="str">
        <v/>
      </c>
      <c r="P42" s="34" t="str">
        <v/>
      </c>
      <c r="Q42" s="34" t="str">
        <v/>
      </c>
      <c r="R42" s="34" t="str">
        <v/>
      </c>
      <c r="S42" s="34" t="str">
        <v/>
      </c>
      <c r="T42" s="34" t="str">
        <v/>
      </c>
      <c r="U42" s="34" t="str">
        <v>HART AI</v>
      </c>
      <c r="V42" s="34" t="str">
        <v>631-DCS401</v>
      </c>
      <c r="W42" s="34" t="str">
        <v>4-20mA</v>
      </c>
      <c r="X42" s="34" t="str">
        <v>DCS</v>
      </c>
      <c r="Y42" s="34" t="str">
        <v>H</v>
      </c>
      <c r="Z42" s="34" t="str">
        <v>No</v>
      </c>
      <c r="AA42" s="34" t="str">
        <v>AUX</v>
      </c>
      <c r="AB42" s="34" t="str">
        <v/>
      </c>
    </row>
    <row r="43" spans="1:28" ht="60">
      <c r="A43" s="34" t="str">
        <v>CA-741765-001</v>
      </c>
      <c r="B43" s="34" t="str">
        <v>631-PDI  -0529</v>
      </c>
      <c r="C43" s="34" t="str">
        <v>631-P-0529</v>
      </c>
      <c r="D43" s="34" t="str">
        <v>DCS</v>
      </c>
      <c r="E43" s="34" t="str">
        <v>DIFF PRESSURE INDICATION</v>
      </c>
      <c r="F43" s="34" t="str">
        <v>631-G-0128B OW DRN PMP SUC STNR DP</v>
      </c>
      <c r="G43" s="34" t="str">
        <v/>
      </c>
      <c r="H43" s="34" t="str">
        <v/>
      </c>
      <c r="I43" s="34" t="str">
        <v/>
      </c>
      <c r="J43" s="34" t="str">
        <v/>
      </c>
      <c r="K43" s="34" t="str">
        <v/>
      </c>
      <c r="L43" s="34" t="str">
        <v/>
      </c>
      <c r="M43" s="34" t="str">
        <v/>
      </c>
      <c r="N43" s="34" t="str">
        <v/>
      </c>
      <c r="O43" s="34" t="str">
        <v/>
      </c>
      <c r="P43" s="34" t="str">
        <v/>
      </c>
      <c r="Q43" s="34" t="str">
        <v/>
      </c>
      <c r="R43" s="34" t="str">
        <v/>
      </c>
      <c r="S43" s="34" t="str">
        <v/>
      </c>
      <c r="T43" s="34" t="str">
        <v/>
      </c>
      <c r="U43" s="34" t="str">
        <v>SW</v>
      </c>
      <c r="V43" s="34" t="str">
        <v/>
      </c>
      <c r="W43" s="34" t="str">
        <v>-</v>
      </c>
      <c r="X43" s="34" t="str">
        <v>DCS</v>
      </c>
      <c r="Y43" s="34" t="str">
        <v>-</v>
      </c>
      <c r="Z43" s="34" t="str">
        <v>No</v>
      </c>
      <c r="AA43" s="34" t="str">
        <v>AUX</v>
      </c>
      <c r="AB43" s="34" t="str">
        <v/>
      </c>
    </row>
    <row r="44" spans="1:28" ht="72">
      <c r="A44" s="34" t="str">
        <v>CA-741765-001</v>
      </c>
      <c r="B44" s="34" t="str">
        <v>631-PDAH -0529</v>
      </c>
      <c r="C44" s="34" t="str">
        <v>631-P-0529</v>
      </c>
      <c r="D44" s="34" t="str">
        <v>DCS</v>
      </c>
      <c r="E44" s="34" t="str">
        <v>DIFF PRESSURE ALARM HIGH</v>
      </c>
      <c r="F44" s="34" t="str">
        <v>631-G-0128B OW DRN PMP SUC STNR DP HI</v>
      </c>
      <c r="G44" s="34" t="str">
        <v/>
      </c>
      <c r="H44" s="34" t="str">
        <v/>
      </c>
      <c r="I44" s="34" t="str">
        <v/>
      </c>
      <c r="J44" s="34" t="str">
        <v/>
      </c>
      <c r="K44" s="34" t="str">
        <v/>
      </c>
      <c r="L44" s="34" t="str">
        <v/>
      </c>
      <c r="M44" s="34" t="str">
        <v>5</v>
      </c>
      <c r="N44" s="34" t="str">
        <v/>
      </c>
      <c r="O44" s="34" t="str">
        <v/>
      </c>
      <c r="P44" s="34" t="str">
        <v/>
      </c>
      <c r="Q44" s="34" t="str">
        <v/>
      </c>
      <c r="R44" s="34" t="str">
        <v/>
      </c>
      <c r="S44" s="34" t="str">
        <v>psi</v>
      </c>
      <c r="T44" s="34" t="str">
        <v/>
      </c>
      <c r="U44" s="34" t="str">
        <v>SW</v>
      </c>
      <c r="V44" s="34" t="str">
        <v/>
      </c>
      <c r="W44" s="34" t="str">
        <v>-</v>
      </c>
      <c r="X44" s="34" t="str">
        <v>DCS</v>
      </c>
      <c r="Y44" s="34" t="str">
        <v>-</v>
      </c>
      <c r="Z44" s="34" t="str">
        <v>No</v>
      </c>
      <c r="AA44" s="34" t="str">
        <v>AUX</v>
      </c>
      <c r="AB44" s="34" t="str">
        <v/>
      </c>
    </row>
    <row r="45" spans="1:28" ht="60">
      <c r="A45" s="34" t="str">
        <v>CA-741765-001</v>
      </c>
      <c r="B45" s="34" t="str">
        <v>631-PI   -0705</v>
      </c>
      <c r="C45" s="34" t="str">
        <v>631-P-0705</v>
      </c>
      <c r="D45" s="34" t="str">
        <v>DCS</v>
      </c>
      <c r="E45" s="34" t="str">
        <v>DCS PRESSURE INDICATION</v>
      </c>
      <c r="F45" s="34" t="str">
        <v>631-G-0128A OW DRN PMP SEAL PR</v>
      </c>
      <c r="G45" s="34" t="str">
        <v/>
      </c>
      <c r="H45" s="34" t="str">
        <v/>
      </c>
      <c r="I45" s="34" t="str">
        <v/>
      </c>
      <c r="J45" s="34" t="str">
        <v/>
      </c>
      <c r="K45" s="34" t="str">
        <v/>
      </c>
      <c r="L45" s="34" t="str">
        <v/>
      </c>
      <c r="M45" s="34" t="str">
        <v/>
      </c>
      <c r="N45" s="34" t="str">
        <v/>
      </c>
      <c r="O45" s="34" t="str">
        <v/>
      </c>
      <c r="P45" s="34" t="str">
        <v/>
      </c>
      <c r="Q45" s="34" t="str">
        <v/>
      </c>
      <c r="R45" s="34" t="str">
        <v/>
      </c>
      <c r="S45" s="34" t="str">
        <v/>
      </c>
      <c r="T45" s="34" t="str">
        <v/>
      </c>
      <c r="U45" s="34" t="str">
        <v>SW</v>
      </c>
      <c r="V45" s="34" t="str">
        <v/>
      </c>
      <c r="W45" s="34" t="str">
        <v>-</v>
      </c>
      <c r="X45" s="34" t="str">
        <v>DCS</v>
      </c>
      <c r="Y45" s="34" t="str">
        <v>-</v>
      </c>
      <c r="Z45" s="34" t="str">
        <v>No</v>
      </c>
      <c r="AA45" s="34" t="str">
        <v>AUX</v>
      </c>
      <c r="AB45" s="34" t="str">
        <v/>
      </c>
    </row>
    <row r="46" spans="1:28" ht="72">
      <c r="A46" s="34" t="str">
        <v>CA-741765-001</v>
      </c>
      <c r="B46" s="34" t="str">
        <v>631-PIT  -0705</v>
      </c>
      <c r="C46" s="34" t="str">
        <v>631-P-0705</v>
      </c>
      <c r="D46" s="34" t="str">
        <v>FIELD</v>
      </c>
      <c r="E46" s="34" t="str">
        <v>PRESSURE INDICATING TRANSMITTER</v>
      </c>
      <c r="F46" s="34" t="str">
        <v>631-G-0128A OW DRN PMP SEAL PR</v>
      </c>
      <c r="G46" s="34" t="str">
        <v>0</v>
      </c>
      <c r="H46" s="34" t="str">
        <v>160</v>
      </c>
      <c r="I46" s="34" t="str">
        <v>psiG</v>
      </c>
      <c r="J46" s="34" t="str">
        <v>0</v>
      </c>
      <c r="K46" s="34" t="str">
        <v>160</v>
      </c>
      <c r="L46" s="34" t="str">
        <v>psiG</v>
      </c>
      <c r="M46" s="34" t="str">
        <v/>
      </c>
      <c r="N46" s="34" t="str">
        <v/>
      </c>
      <c r="O46" s="34" t="str">
        <v/>
      </c>
      <c r="P46" s="34" t="str">
        <v/>
      </c>
      <c r="Q46" s="34" t="str">
        <v/>
      </c>
      <c r="R46" s="34" t="str">
        <v/>
      </c>
      <c r="S46" s="34" t="str">
        <v/>
      </c>
      <c r="T46" s="34" t="str">
        <v/>
      </c>
      <c r="U46" s="34" t="str">
        <v>HART AI</v>
      </c>
      <c r="V46" s="34" t="str">
        <v>631-DCS401</v>
      </c>
      <c r="W46" s="34" t="str">
        <v>4-20mA</v>
      </c>
      <c r="X46" s="34" t="str">
        <v>DCS</v>
      </c>
      <c r="Y46" s="34" t="str">
        <v>H</v>
      </c>
      <c r="Z46" s="34" t="str">
        <v>No</v>
      </c>
      <c r="AA46" s="34" t="str">
        <v>AUX</v>
      </c>
      <c r="AB46" s="34" t="str">
        <v/>
      </c>
    </row>
    <row r="47" spans="1:28" ht="72">
      <c r="A47" s="34" t="str">
        <v>CA-741765-001</v>
      </c>
      <c r="B47" s="34" t="str">
        <v>631-PAH  -0705</v>
      </c>
      <c r="C47" s="34" t="str">
        <v>631-P-0705</v>
      </c>
      <c r="D47" s="34" t="str">
        <v>DCS</v>
      </c>
      <c r="E47" s="34" t="str">
        <v>PRESSURE ALARM HIGH</v>
      </c>
      <c r="F47" s="34" t="str">
        <v>631-G-0128A OW DRN PMP SEAL PR HI</v>
      </c>
      <c r="G47" s="34" t="str">
        <v/>
      </c>
      <c r="H47" s="34" t="str">
        <v/>
      </c>
      <c r="I47" s="34" t="str">
        <v/>
      </c>
      <c r="J47" s="34" t="str">
        <v/>
      </c>
      <c r="K47" s="34" t="str">
        <v/>
      </c>
      <c r="L47" s="34" t="str">
        <v/>
      </c>
      <c r="M47" s="34" t="str">
        <v>80</v>
      </c>
      <c r="N47" s="34" t="str">
        <v/>
      </c>
      <c r="O47" s="34" t="str">
        <v/>
      </c>
      <c r="P47" s="34" t="str">
        <v/>
      </c>
      <c r="Q47" s="34" t="str">
        <v/>
      </c>
      <c r="R47" s="34" t="str">
        <v/>
      </c>
      <c r="S47" s="34" t="str">
        <v>psiG</v>
      </c>
      <c r="T47" s="34" t="str">
        <v/>
      </c>
      <c r="U47" s="34" t="str">
        <v>SW</v>
      </c>
      <c r="V47" s="34" t="str">
        <v/>
      </c>
      <c r="W47" s="34" t="str">
        <v>-</v>
      </c>
      <c r="X47" s="34" t="str">
        <v>DCS</v>
      </c>
      <c r="Y47" s="34" t="str">
        <v>-</v>
      </c>
      <c r="Z47" s="34" t="str">
        <v>No</v>
      </c>
      <c r="AA47" s="34" t="str">
        <v>AUX</v>
      </c>
      <c r="AB47" s="34" t="str">
        <v/>
      </c>
    </row>
    <row r="48" spans="1:28" ht="72">
      <c r="A48" s="34" t="str">
        <v>CA-741765-001</v>
      </c>
      <c r="B48" s="34" t="str">
        <v>631-PAL  -0705</v>
      </c>
      <c r="C48" s="34" t="str">
        <v>631-P-0705</v>
      </c>
      <c r="D48" s="34" t="str">
        <v>DCS</v>
      </c>
      <c r="E48" s="34" t="str">
        <v>PRESSURE ALARM LOW</v>
      </c>
      <c r="F48" s="34" t="str">
        <v>631-G-0128A OW DRN PMP SEAL PR LO</v>
      </c>
      <c r="G48" s="34" t="str">
        <v/>
      </c>
      <c r="H48" s="34" t="str">
        <v/>
      </c>
      <c r="I48" s="34" t="str">
        <v/>
      </c>
      <c r="J48" s="34" t="str">
        <v/>
      </c>
      <c r="K48" s="34" t="str">
        <v/>
      </c>
      <c r="L48" s="34" t="str">
        <v/>
      </c>
      <c r="M48" s="34" t="str">
        <v/>
      </c>
      <c r="N48" s="34" t="str">
        <v/>
      </c>
      <c r="O48" s="34" t="str">
        <v/>
      </c>
      <c r="P48" s="34" t="str">
        <v>30</v>
      </c>
      <c r="Q48" s="34" t="str">
        <v/>
      </c>
      <c r="R48" s="34" t="str">
        <v/>
      </c>
      <c r="S48" s="34" t="str">
        <v>psiG</v>
      </c>
      <c r="T48" s="34" t="str">
        <v/>
      </c>
      <c r="U48" s="34" t="str">
        <v>SW</v>
      </c>
      <c r="V48" s="34" t="str">
        <v/>
      </c>
      <c r="W48" s="34" t="str">
        <v>-</v>
      </c>
      <c r="X48" s="34" t="str">
        <v>DCS</v>
      </c>
      <c r="Y48" s="34" t="str">
        <v>-</v>
      </c>
      <c r="Z48" s="34" t="str">
        <v>No</v>
      </c>
      <c r="AA48" s="34" t="str">
        <v>AUX</v>
      </c>
      <c r="AB48" s="34" t="str">
        <v/>
      </c>
    </row>
    <row r="49" spans="1:28" ht="60">
      <c r="A49" s="34" t="str">
        <v>CA-741765-001</v>
      </c>
      <c r="B49" s="34" t="str">
        <v>631-PI   -0706</v>
      </c>
      <c r="C49" s="34" t="str">
        <v>631-P-0706</v>
      </c>
      <c r="D49" s="34" t="str">
        <v>DCS</v>
      </c>
      <c r="E49" s="34" t="str">
        <v>DCS PRESSURE INDICATION</v>
      </c>
      <c r="F49" s="34" t="str">
        <v>631-G-0128B OW DRN PMP SEAL PR</v>
      </c>
      <c r="G49" s="34" t="str">
        <v/>
      </c>
      <c r="H49" s="34" t="str">
        <v/>
      </c>
      <c r="I49" s="34" t="str">
        <v/>
      </c>
      <c r="J49" s="34" t="str">
        <v/>
      </c>
      <c r="K49" s="34" t="str">
        <v/>
      </c>
      <c r="L49" s="34" t="str">
        <v/>
      </c>
      <c r="M49" s="34" t="str">
        <v/>
      </c>
      <c r="N49" s="34" t="str">
        <v/>
      </c>
      <c r="O49" s="34" t="str">
        <v/>
      </c>
      <c r="P49" s="34" t="str">
        <v/>
      </c>
      <c r="Q49" s="34" t="str">
        <v/>
      </c>
      <c r="R49" s="34" t="str">
        <v/>
      </c>
      <c r="S49" s="34" t="str">
        <v/>
      </c>
      <c r="T49" s="34" t="str">
        <v/>
      </c>
      <c r="U49" s="34" t="str">
        <v>SW</v>
      </c>
      <c r="V49" s="34" t="str">
        <v/>
      </c>
      <c r="W49" s="34" t="str">
        <v>-</v>
      </c>
      <c r="X49" s="34" t="str">
        <v>DCS</v>
      </c>
      <c r="Y49" s="34" t="str">
        <v>-</v>
      </c>
      <c r="Z49" s="34" t="str">
        <v>No</v>
      </c>
      <c r="AA49" s="34" t="str">
        <v>AUX</v>
      </c>
      <c r="AB49" s="34" t="str">
        <v/>
      </c>
    </row>
    <row r="50" spans="1:28" ht="72">
      <c r="A50" s="34" t="str">
        <v>CA-741765-001</v>
      </c>
      <c r="B50" s="34" t="str">
        <v>631-PIT  -0706</v>
      </c>
      <c r="C50" s="34" t="str">
        <v>631-P-0706</v>
      </c>
      <c r="D50" s="34" t="str">
        <v>FIELD</v>
      </c>
      <c r="E50" s="34" t="str">
        <v>PRESSURE INDICATING TRANSMITTER</v>
      </c>
      <c r="F50" s="34" t="str">
        <v>631-G-0128B OW DRN PMP SEAL PR</v>
      </c>
      <c r="G50" s="34" t="str">
        <v>0</v>
      </c>
      <c r="H50" s="34" t="str">
        <v>160</v>
      </c>
      <c r="I50" s="34" t="str">
        <v>psi</v>
      </c>
      <c r="J50" s="34" t="str">
        <v>0</v>
      </c>
      <c r="K50" s="34" t="str">
        <v>160</v>
      </c>
      <c r="L50" s="34" t="str">
        <v>psiG</v>
      </c>
      <c r="M50" s="34" t="str">
        <v/>
      </c>
      <c r="N50" s="34" t="str">
        <v/>
      </c>
      <c r="O50" s="34" t="str">
        <v/>
      </c>
      <c r="P50" s="34" t="str">
        <v/>
      </c>
      <c r="Q50" s="34" t="str">
        <v/>
      </c>
      <c r="R50" s="34" t="str">
        <v/>
      </c>
      <c r="S50" s="34" t="str">
        <v/>
      </c>
      <c r="T50" s="34" t="str">
        <v/>
      </c>
      <c r="U50" s="34" t="str">
        <v>HART AI</v>
      </c>
      <c r="V50" s="34" t="str">
        <v>631-DCS401</v>
      </c>
      <c r="W50" s="34" t="str">
        <v>4-20mA</v>
      </c>
      <c r="X50" s="34" t="str">
        <v>DCS</v>
      </c>
      <c r="Y50" s="34" t="str">
        <v>H</v>
      </c>
      <c r="Z50" s="34" t="str">
        <v>No</v>
      </c>
      <c r="AA50" s="34" t="str">
        <v>AUX</v>
      </c>
      <c r="AB50" s="34" t="str">
        <v/>
      </c>
    </row>
    <row r="51" spans="1:28" ht="72">
      <c r="A51" s="34" t="str">
        <v>CA-741765-001</v>
      </c>
      <c r="B51" s="34" t="str">
        <v>631-PAH  -0706</v>
      </c>
      <c r="C51" s="34" t="str">
        <v>631-P-0706</v>
      </c>
      <c r="D51" s="34" t="str">
        <v>DCS</v>
      </c>
      <c r="E51" s="34" t="str">
        <v>PRESSURE ALARM HIGH</v>
      </c>
      <c r="F51" s="34" t="str">
        <v>631-G-0128B OW DRN PMP SEAL PR HI</v>
      </c>
      <c r="G51" s="34" t="str">
        <v/>
      </c>
      <c r="H51" s="34" t="str">
        <v/>
      </c>
      <c r="I51" s="34" t="str">
        <v/>
      </c>
      <c r="J51" s="34" t="str">
        <v/>
      </c>
      <c r="K51" s="34" t="str">
        <v/>
      </c>
      <c r="L51" s="34" t="str">
        <v/>
      </c>
      <c r="M51" s="34" t="str">
        <v>80</v>
      </c>
      <c r="N51" s="34" t="str">
        <v/>
      </c>
      <c r="O51" s="34" t="str">
        <v/>
      </c>
      <c r="P51" s="34" t="str">
        <v/>
      </c>
      <c r="Q51" s="34" t="str">
        <v/>
      </c>
      <c r="R51" s="34" t="str">
        <v/>
      </c>
      <c r="S51" s="34" t="str">
        <v>psiG</v>
      </c>
      <c r="T51" s="34" t="str">
        <v/>
      </c>
      <c r="U51" s="34" t="str">
        <v>SW</v>
      </c>
      <c r="V51" s="34" t="str">
        <v/>
      </c>
      <c r="W51" s="34" t="str">
        <v>-</v>
      </c>
      <c r="X51" s="34" t="str">
        <v>DCS</v>
      </c>
      <c r="Y51" s="34" t="str">
        <v>-</v>
      </c>
      <c r="Z51" s="34" t="str">
        <v>No</v>
      </c>
      <c r="AA51" s="34" t="str">
        <v>AUX</v>
      </c>
      <c r="AB51" s="34" t="str">
        <v/>
      </c>
    </row>
    <row r="52" spans="1:28" ht="72">
      <c r="A52" s="34" t="str">
        <v>CA-741765-001</v>
      </c>
      <c r="B52" s="34" t="str">
        <v>631-PAL  -0706</v>
      </c>
      <c r="C52" s="34" t="str">
        <v>631-P-0706</v>
      </c>
      <c r="D52" s="34" t="str">
        <v>DCS</v>
      </c>
      <c r="E52" s="34" t="str">
        <v>PRESSURE ALARM LOW</v>
      </c>
      <c r="F52" s="34" t="str">
        <v>631-G-0128B OW DRN PMP SEAL PR LO</v>
      </c>
      <c r="G52" s="34" t="str">
        <v/>
      </c>
      <c r="H52" s="34" t="str">
        <v/>
      </c>
      <c r="I52" s="34" t="str">
        <v/>
      </c>
      <c r="J52" s="34" t="str">
        <v/>
      </c>
      <c r="K52" s="34" t="str">
        <v/>
      </c>
      <c r="L52" s="34" t="str">
        <v/>
      </c>
      <c r="M52" s="34" t="str">
        <v/>
      </c>
      <c r="N52" s="34" t="str">
        <v/>
      </c>
      <c r="O52" s="34" t="str">
        <v/>
      </c>
      <c r="P52" s="34" t="str">
        <v>30</v>
      </c>
      <c r="Q52" s="34" t="str">
        <v/>
      </c>
      <c r="R52" s="34" t="str">
        <v/>
      </c>
      <c r="S52" s="34" t="str">
        <v>psiG</v>
      </c>
      <c r="T52" s="34" t="str">
        <v/>
      </c>
      <c r="U52" s="34" t="str">
        <v>SW</v>
      </c>
      <c r="V52" s="34" t="str">
        <v/>
      </c>
      <c r="W52" s="34" t="str">
        <v>-</v>
      </c>
      <c r="X52" s="34" t="str">
        <v>DCS</v>
      </c>
      <c r="Y52" s="34" t="str">
        <v>-</v>
      </c>
      <c r="Z52" s="34" t="str">
        <v>No</v>
      </c>
      <c r="AA52" s="34" t="str">
        <v>AUX</v>
      </c>
      <c r="AB52" s="34" t="str">
        <v/>
      </c>
    </row>
    <row r="53" spans="1:28" ht="84">
      <c r="A53" s="34" t="str">
        <v>CA-741765-001</v>
      </c>
      <c r="B53" s="34" t="str">
        <v>631-TIT  -0521</v>
      </c>
      <c r="C53" s="34" t="str">
        <v>631-T-0521</v>
      </c>
      <c r="D53" s="34" t="str">
        <v>FIELD</v>
      </c>
      <c r="E53" s="34" t="str">
        <v>TEMPERATURE INDICATING TRANSMITTER</v>
      </c>
      <c r="F53" s="34" t="str">
        <v>631-G-0128A/B OW DRN PMP DISCH TEMP</v>
      </c>
      <c r="G53" s="34" t="str">
        <v>0</v>
      </c>
      <c r="H53" s="34" t="str">
        <v>160</v>
      </c>
      <c r="I53" s="34" t="str">
        <v>°F</v>
      </c>
      <c r="J53" s="34" t="str">
        <v>0</v>
      </c>
      <c r="K53" s="34" t="str">
        <v>160</v>
      </c>
      <c r="L53" s="34" t="str">
        <v>°F</v>
      </c>
      <c r="M53" s="34" t="str">
        <v/>
      </c>
      <c r="N53" s="34" t="str">
        <v/>
      </c>
      <c r="O53" s="34" t="str">
        <v/>
      </c>
      <c r="P53" s="34" t="str">
        <v/>
      </c>
      <c r="Q53" s="34" t="str">
        <v/>
      </c>
      <c r="R53" s="34" t="str">
        <v/>
      </c>
      <c r="S53" s="34" t="str">
        <v/>
      </c>
      <c r="T53" s="34" t="str">
        <v/>
      </c>
      <c r="U53" s="34" t="str">
        <v>HART AI</v>
      </c>
      <c r="V53" s="34" t="str">
        <v>631-DCS401</v>
      </c>
      <c r="W53" s="34" t="str">
        <v>4-20mA</v>
      </c>
      <c r="X53" s="34" t="str">
        <v>DCS</v>
      </c>
      <c r="Y53" s="34" t="str">
        <v>H</v>
      </c>
      <c r="Z53" s="34" t="str">
        <v>No</v>
      </c>
      <c r="AA53" s="34" t="str">
        <v>AUX</v>
      </c>
      <c r="AB53" s="34" t="str">
        <v/>
      </c>
    </row>
    <row r="54" spans="1:28" ht="84">
      <c r="A54" s="34" t="str">
        <v>CA-741765-001</v>
      </c>
      <c r="B54" s="34" t="str">
        <v>631-TI   -0521</v>
      </c>
      <c r="C54" s="34" t="str">
        <v>631-T-0521</v>
      </c>
      <c r="D54" s="34" t="str">
        <v>DCS</v>
      </c>
      <c r="E54" s="34" t="str">
        <v>DCS TEMPERATURE INDICATION</v>
      </c>
      <c r="F54" s="34" t="str">
        <v>631-G-0128A/B OW DRN PMP DISCH TEMP</v>
      </c>
      <c r="G54" s="34" t="str">
        <v/>
      </c>
      <c r="H54" s="34" t="str">
        <v/>
      </c>
      <c r="I54" s="34" t="str">
        <v/>
      </c>
      <c r="J54" s="34" t="str">
        <v/>
      </c>
      <c r="K54" s="34" t="str">
        <v/>
      </c>
      <c r="L54" s="34" t="str">
        <v/>
      </c>
      <c r="M54" s="34" t="str">
        <v/>
      </c>
      <c r="N54" s="34" t="str">
        <v/>
      </c>
      <c r="O54" s="34" t="str">
        <v/>
      </c>
      <c r="P54" s="34" t="str">
        <v/>
      </c>
      <c r="Q54" s="34" t="str">
        <v/>
      </c>
      <c r="R54" s="34" t="str">
        <v/>
      </c>
      <c r="S54" s="34" t="str">
        <v/>
      </c>
      <c r="T54" s="34" t="str">
        <v/>
      </c>
      <c r="U54" s="34" t="str">
        <v>SW</v>
      </c>
      <c r="V54" s="34" t="str">
        <v/>
      </c>
      <c r="W54" s="34" t="str">
        <v>-</v>
      </c>
      <c r="X54" s="34" t="str">
        <v>DCS</v>
      </c>
      <c r="Y54" s="34" t="str">
        <v>-</v>
      </c>
      <c r="Z54" s="34" t="str">
        <v>No</v>
      </c>
      <c r="AA54" s="34" t="str">
        <v>AUX</v>
      </c>
      <c r="AB54" s="34" t="str">
        <v/>
      </c>
    </row>
    <row r="55" spans="1:28" ht="72">
      <c r="A55" s="34" t="str">
        <v>CA-741765-001</v>
      </c>
      <c r="B55" s="34" t="str">
        <v>631-TIT  -0705</v>
      </c>
      <c r="C55" s="34" t="str">
        <v>631-T-0705</v>
      </c>
      <c r="D55" s="34" t="str">
        <v>FIELD</v>
      </c>
      <c r="E55" s="34" t="str">
        <v>TEMPERATURE INDICATING TRANSMITTER</v>
      </c>
      <c r="F55" s="34" t="str">
        <v>631-G-0128A OW DRN PMP SEAL TEMP</v>
      </c>
      <c r="G55" s="34" t="str">
        <v>0</v>
      </c>
      <c r="H55" s="34" t="str">
        <v>230</v>
      </c>
      <c r="I55" s="34" t="str">
        <v>°F</v>
      </c>
      <c r="J55" s="34" t="str">
        <v>0</v>
      </c>
      <c r="K55" s="34" t="str">
        <v>230</v>
      </c>
      <c r="L55" s="34" t="str">
        <v>°F</v>
      </c>
      <c r="M55" s="34" t="str">
        <v/>
      </c>
      <c r="N55" s="34" t="str">
        <v/>
      </c>
      <c r="O55" s="34" t="str">
        <v/>
      </c>
      <c r="P55" s="34" t="str">
        <v/>
      </c>
      <c r="Q55" s="34" t="str">
        <v/>
      </c>
      <c r="R55" s="34" t="str">
        <v/>
      </c>
      <c r="S55" s="34" t="str">
        <v/>
      </c>
      <c r="T55" s="34" t="str">
        <v/>
      </c>
      <c r="U55" s="34" t="str">
        <v>HART AI</v>
      </c>
      <c r="V55" s="34" t="str">
        <v>631-DCS401</v>
      </c>
      <c r="W55" s="34" t="str">
        <v>4-20mA</v>
      </c>
      <c r="X55" s="34" t="str">
        <v>DCS</v>
      </c>
      <c r="Y55" s="34" t="str">
        <v>H</v>
      </c>
      <c r="Z55" s="34" t="str">
        <v>No</v>
      </c>
      <c r="AA55" s="34" t="str">
        <v>AUX</v>
      </c>
      <c r="AB55" s="34" t="str">
        <v/>
      </c>
    </row>
    <row r="56" spans="1:28" ht="72">
      <c r="A56" s="34" t="str">
        <v>CA-741765-001</v>
      </c>
      <c r="B56" s="34" t="str">
        <v>631-TI   -0705</v>
      </c>
      <c r="C56" s="34" t="str">
        <v>631-T-0705</v>
      </c>
      <c r="D56" s="34" t="str">
        <v>DCS</v>
      </c>
      <c r="E56" s="34" t="str">
        <v>DCS TEMPERATURE INDICATION</v>
      </c>
      <c r="F56" s="34" t="str">
        <v>631-G-0128A OW DRN PMP SEAL TEMP</v>
      </c>
      <c r="G56" s="34" t="str">
        <v/>
      </c>
      <c r="H56" s="34" t="str">
        <v/>
      </c>
      <c r="I56" s="34" t="str">
        <v/>
      </c>
      <c r="J56" s="34" t="str">
        <v/>
      </c>
      <c r="K56" s="34" t="str">
        <v/>
      </c>
      <c r="L56" s="34" t="str">
        <v/>
      </c>
      <c r="M56" s="34" t="str">
        <v/>
      </c>
      <c r="N56" s="34" t="str">
        <v/>
      </c>
      <c r="O56" s="34" t="str">
        <v/>
      </c>
      <c r="P56" s="34" t="str">
        <v/>
      </c>
      <c r="Q56" s="34" t="str">
        <v/>
      </c>
      <c r="R56" s="34" t="str">
        <v/>
      </c>
      <c r="S56" s="34" t="str">
        <v/>
      </c>
      <c r="T56" s="34" t="str">
        <v/>
      </c>
      <c r="U56" s="34" t="str">
        <v>SW</v>
      </c>
      <c r="V56" s="34" t="str">
        <v/>
      </c>
      <c r="W56" s="34" t="str">
        <v>-</v>
      </c>
      <c r="X56" s="34" t="str">
        <v>DCS</v>
      </c>
      <c r="Y56" s="34" t="str">
        <v>-</v>
      </c>
      <c r="Z56" s="34" t="str">
        <v>No</v>
      </c>
      <c r="AA56" s="34" t="str">
        <v>AUX</v>
      </c>
      <c r="AB56" s="34" t="str">
        <v/>
      </c>
    </row>
    <row r="57" spans="1:28" ht="72">
      <c r="A57" s="34" t="str">
        <v>CA-741765-001</v>
      </c>
      <c r="B57" s="34" t="str">
        <v>631-TAH  -0705A</v>
      </c>
      <c r="C57" s="34" t="str">
        <v>631-T-0705</v>
      </c>
      <c r="D57" s="34" t="str">
        <v>DCS</v>
      </c>
      <c r="E57" s="34" t="str">
        <v>TEMPERATURE ALARM HIGH</v>
      </c>
      <c r="F57" s="34" t="str">
        <v>631-G-0128A OW DRN PMP SEAL TEMP HI</v>
      </c>
      <c r="G57" s="34" t="str">
        <v/>
      </c>
      <c r="H57" s="34" t="str">
        <v/>
      </c>
      <c r="I57" s="34" t="str">
        <v/>
      </c>
      <c r="J57" s="34" t="str">
        <v/>
      </c>
      <c r="K57" s="34" t="str">
        <v/>
      </c>
      <c r="L57" s="34" t="str">
        <v/>
      </c>
      <c r="M57" s="34" t="str">
        <v>176</v>
      </c>
      <c r="N57" s="34" t="str">
        <v/>
      </c>
      <c r="O57" s="34" t="str">
        <v/>
      </c>
      <c r="P57" s="34" t="str">
        <v/>
      </c>
      <c r="Q57" s="34" t="str">
        <v/>
      </c>
      <c r="R57" s="34" t="str">
        <v/>
      </c>
      <c r="S57" s="34" t="str">
        <v>°F</v>
      </c>
      <c r="T57" s="34" t="str">
        <v/>
      </c>
      <c r="U57" s="34" t="str">
        <v>SW</v>
      </c>
      <c r="V57" s="34" t="str">
        <v/>
      </c>
      <c r="W57" s="34" t="str">
        <v>-</v>
      </c>
      <c r="X57" s="34" t="str">
        <v>DCS</v>
      </c>
      <c r="Y57" s="34" t="str">
        <v>-</v>
      </c>
      <c r="Z57" s="34" t="str">
        <v>No</v>
      </c>
      <c r="AA57" s="34" t="str">
        <v>AUX</v>
      </c>
      <c r="AB57" s="34" t="str">
        <v/>
      </c>
    </row>
    <row r="58" spans="1:28" ht="72">
      <c r="A58" s="34" t="str">
        <v>CA-741765-001</v>
      </c>
      <c r="B58" s="34" t="str">
        <v>631-TAH  -0705B</v>
      </c>
      <c r="C58" s="34" t="str">
        <v>631-T-0705</v>
      </c>
      <c r="D58" s="34" t="str">
        <v>DCS</v>
      </c>
      <c r="E58" s="34" t="str">
        <v>TEMPERATURE ALARM HIGH</v>
      </c>
      <c r="F58" s="34" t="str">
        <v>631-G-0128A OW DRN PMP SEAL TEMP HI</v>
      </c>
      <c r="G58" s="34" t="str">
        <v/>
      </c>
      <c r="H58" s="34" t="str">
        <v/>
      </c>
      <c r="I58" s="34" t="str">
        <v/>
      </c>
      <c r="J58" s="34" t="str">
        <v/>
      </c>
      <c r="K58" s="34" t="str">
        <v/>
      </c>
      <c r="L58" s="34" t="str">
        <v/>
      </c>
      <c r="M58" s="34" t="str">
        <v>185</v>
      </c>
      <c r="N58" s="34" t="str">
        <v/>
      </c>
      <c r="O58" s="34" t="str">
        <v/>
      </c>
      <c r="P58" s="34" t="str">
        <v/>
      </c>
      <c r="Q58" s="34" t="str">
        <v/>
      </c>
      <c r="R58" s="34" t="str">
        <v/>
      </c>
      <c r="S58" s="34" t="str">
        <v>°F</v>
      </c>
      <c r="T58" s="34" t="str">
        <v/>
      </c>
      <c r="U58" s="34" t="str">
        <v>SW</v>
      </c>
      <c r="V58" s="34" t="str">
        <v/>
      </c>
      <c r="W58" s="34" t="str">
        <v>-</v>
      </c>
      <c r="X58" s="34" t="str">
        <v>DCS</v>
      </c>
      <c r="Y58" s="34" t="str">
        <v>-</v>
      </c>
      <c r="Z58" s="34" t="str">
        <v>No</v>
      </c>
      <c r="AA58" s="34" t="str">
        <v>AUX</v>
      </c>
      <c r="AB58" s="34" t="str">
        <v/>
      </c>
    </row>
    <row r="59" spans="1:28" ht="72">
      <c r="A59" s="34" t="str">
        <v>CA-741765-001</v>
      </c>
      <c r="B59" s="34" t="str">
        <v>631-TIT  -0706</v>
      </c>
      <c r="C59" s="34" t="str">
        <v>631-T-0706</v>
      </c>
      <c r="D59" s="34" t="str">
        <v>FIELD</v>
      </c>
      <c r="E59" s="34" t="str">
        <v>TEMPERATURE INDICATING TRANSMITTER</v>
      </c>
      <c r="F59" s="34" t="str">
        <v>631-G-0128B OW DRN PMP SEAL TEMP</v>
      </c>
      <c r="G59" s="34" t="str">
        <v>0</v>
      </c>
      <c r="H59" s="34" t="str">
        <v>230</v>
      </c>
      <c r="I59" s="34" t="str">
        <v>°F</v>
      </c>
      <c r="J59" s="34" t="str">
        <v>0</v>
      </c>
      <c r="K59" s="34" t="str">
        <v>230</v>
      </c>
      <c r="L59" s="34" t="str">
        <v>°F</v>
      </c>
      <c r="M59" s="34" t="str">
        <v/>
      </c>
      <c r="N59" s="34" t="str">
        <v/>
      </c>
      <c r="O59" s="34" t="str">
        <v/>
      </c>
      <c r="P59" s="34" t="str">
        <v/>
      </c>
      <c r="Q59" s="34" t="str">
        <v/>
      </c>
      <c r="R59" s="34" t="str">
        <v/>
      </c>
      <c r="S59" s="34" t="str">
        <v/>
      </c>
      <c r="T59" s="34" t="str">
        <v/>
      </c>
      <c r="U59" s="34" t="str">
        <v>HART AI</v>
      </c>
      <c r="V59" s="34" t="str">
        <v>631-DCS401</v>
      </c>
      <c r="W59" s="34" t="str">
        <v>4-20mA</v>
      </c>
      <c r="X59" s="34" t="str">
        <v>DCS</v>
      </c>
      <c r="Y59" s="34" t="str">
        <v>H</v>
      </c>
      <c r="Z59" s="34" t="str">
        <v>No</v>
      </c>
      <c r="AA59" s="34" t="str">
        <v>AUX</v>
      </c>
      <c r="AB59" s="34" t="str">
        <v/>
      </c>
    </row>
    <row r="60" spans="1:28" ht="72">
      <c r="A60" s="34" t="str">
        <v>CA-741765-001</v>
      </c>
      <c r="B60" s="34" t="str">
        <v>631-TI   -0706</v>
      </c>
      <c r="C60" s="34" t="str">
        <v>631-T-0706</v>
      </c>
      <c r="D60" s="34" t="str">
        <v>DCS</v>
      </c>
      <c r="E60" s="34" t="str">
        <v>DCS TEMPERATURE INDICATION</v>
      </c>
      <c r="F60" s="34" t="str">
        <v>631-G-0128B OW DRN PMP SEAL TEMP</v>
      </c>
      <c r="G60" s="34" t="str">
        <v/>
      </c>
      <c r="H60" s="34" t="str">
        <v/>
      </c>
      <c r="I60" s="34" t="str">
        <v/>
      </c>
      <c r="J60" s="34" t="str">
        <v/>
      </c>
      <c r="K60" s="34" t="str">
        <v/>
      </c>
      <c r="L60" s="34" t="str">
        <v/>
      </c>
      <c r="M60" s="34" t="str">
        <v/>
      </c>
      <c r="N60" s="34" t="str">
        <v/>
      </c>
      <c r="O60" s="34" t="str">
        <v/>
      </c>
      <c r="P60" s="34" t="str">
        <v/>
      </c>
      <c r="Q60" s="34" t="str">
        <v/>
      </c>
      <c r="R60" s="34" t="str">
        <v/>
      </c>
      <c r="S60" s="34" t="str">
        <v/>
      </c>
      <c r="T60" s="34" t="str">
        <v/>
      </c>
      <c r="U60" s="34" t="str">
        <v>SW</v>
      </c>
      <c r="V60" s="34" t="str">
        <v/>
      </c>
      <c r="W60" s="34" t="str">
        <v>-</v>
      </c>
      <c r="X60" s="34" t="str">
        <v>DCS</v>
      </c>
      <c r="Y60" s="34" t="str">
        <v>-</v>
      </c>
      <c r="Z60" s="34" t="str">
        <v>No</v>
      </c>
      <c r="AA60" s="34" t="str">
        <v>AUX</v>
      </c>
      <c r="AB60" s="34" t="str">
        <v/>
      </c>
    </row>
    <row r="61" spans="1:28" ht="72">
      <c r="A61" s="34" t="str">
        <v>CA-741765-001</v>
      </c>
      <c r="B61" s="34" t="str">
        <v>631-TAH  -0706A</v>
      </c>
      <c r="C61" s="34" t="str">
        <v>631-T-0706</v>
      </c>
      <c r="D61" s="34" t="str">
        <v>DCS</v>
      </c>
      <c r="E61" s="34" t="str">
        <v>TEMPERATURE ALARM HIGH</v>
      </c>
      <c r="F61" s="34" t="str">
        <v>631-G-0128B OW DRN PMP SEAL TEMP HI</v>
      </c>
      <c r="G61" s="34" t="str">
        <v/>
      </c>
      <c r="H61" s="34" t="str">
        <v/>
      </c>
      <c r="I61" s="34" t="str">
        <v/>
      </c>
      <c r="J61" s="34" t="str">
        <v/>
      </c>
      <c r="K61" s="34" t="str">
        <v/>
      </c>
      <c r="L61" s="34" t="str">
        <v/>
      </c>
      <c r="M61" s="34" t="str">
        <v>176</v>
      </c>
      <c r="N61" s="34" t="str">
        <v/>
      </c>
      <c r="O61" s="34" t="str">
        <v/>
      </c>
      <c r="P61" s="34" t="str">
        <v/>
      </c>
      <c r="Q61" s="34" t="str">
        <v/>
      </c>
      <c r="R61" s="34" t="str">
        <v/>
      </c>
      <c r="S61" s="34" t="str">
        <v>°F</v>
      </c>
      <c r="T61" s="34" t="str">
        <v/>
      </c>
      <c r="U61" s="34" t="str">
        <v>SW</v>
      </c>
      <c r="V61" s="34" t="str">
        <v/>
      </c>
      <c r="W61" s="34" t="str">
        <v>-</v>
      </c>
      <c r="X61" s="34" t="str">
        <v>DCS</v>
      </c>
      <c r="Y61" s="34" t="str">
        <v>-</v>
      </c>
      <c r="Z61" s="34" t="str">
        <v>No</v>
      </c>
      <c r="AA61" s="34" t="str">
        <v>AUX</v>
      </c>
      <c r="AB61" s="34" t="str">
        <v/>
      </c>
    </row>
    <row r="62" spans="1:28" ht="72">
      <c r="A62" s="34" t="str">
        <v>CA-741765-001</v>
      </c>
      <c r="B62" s="34" t="str">
        <v>631-TAH  -0706B</v>
      </c>
      <c r="C62" s="34" t="str">
        <v>631-T-0706</v>
      </c>
      <c r="D62" s="34" t="str">
        <v>DCS</v>
      </c>
      <c r="E62" s="34" t="str">
        <v>TEMPERATURE ALARM HIGH</v>
      </c>
      <c r="F62" s="34" t="str">
        <v>631-G-0128B OW DRN PMP SEAL TEMP HI</v>
      </c>
      <c r="G62" s="34" t="str">
        <v/>
      </c>
      <c r="H62" s="34" t="str">
        <v/>
      </c>
      <c r="I62" s="34" t="str">
        <v/>
      </c>
      <c r="J62" s="34" t="str">
        <v/>
      </c>
      <c r="K62" s="34" t="str">
        <v/>
      </c>
      <c r="L62" s="34" t="str">
        <v/>
      </c>
      <c r="M62" s="34" t="str">
        <v>185</v>
      </c>
      <c r="N62" s="34" t="str">
        <v/>
      </c>
      <c r="O62" s="34" t="str">
        <v/>
      </c>
      <c r="P62" s="34" t="str">
        <v/>
      </c>
      <c r="Q62" s="34" t="str">
        <v/>
      </c>
      <c r="R62" s="34" t="str">
        <v/>
      </c>
      <c r="S62" s="34" t="str">
        <v>°F</v>
      </c>
      <c r="T62" s="34" t="str">
        <v/>
      </c>
      <c r="U62" s="34" t="str">
        <v>SW</v>
      </c>
      <c r="V62" s="34" t="str">
        <v/>
      </c>
      <c r="W62" s="34" t="str">
        <v>-</v>
      </c>
      <c r="X62" s="34" t="str">
        <v>DCS</v>
      </c>
      <c r="Y62" s="34" t="str">
        <v>-</v>
      </c>
      <c r="Z62" s="34" t="str">
        <v>No</v>
      </c>
      <c r="AA62" s="34" t="str">
        <v>AUX</v>
      </c>
      <c r="AB62" s="34" t="str">
        <v/>
      </c>
    </row>
    <row r="63" spans="1:28" ht="48">
      <c r="A63" s="34" t="str">
        <v>CA-741765-001</v>
      </c>
      <c r="B63" s="34" t="str">
        <v>631-XVT  -0705</v>
      </c>
      <c r="C63" s="34" t="str">
        <v>631-X-0705</v>
      </c>
      <c r="D63" s="34" t="str">
        <v>FIELD</v>
      </c>
      <c r="E63" s="34" t="str">
        <v>VIBRATION TRANSMITTER</v>
      </c>
      <c r="F63" s="34" t="str">
        <v>631-G-0128A OW DRN PMP VBR</v>
      </c>
      <c r="G63" s="34" t="str">
        <v>0</v>
      </c>
      <c r="H63" s="34" t="str">
        <v>25.4</v>
      </c>
      <c r="I63" s="34" t="str">
        <v>mm/s</v>
      </c>
      <c r="J63" s="34" t="str">
        <v>0</v>
      </c>
      <c r="K63" s="34" t="str">
        <v>25.4</v>
      </c>
      <c r="L63" s="34" t="str">
        <v>mm/s</v>
      </c>
      <c r="M63" s="34" t="str">
        <v/>
      </c>
      <c r="N63" s="34" t="str">
        <v/>
      </c>
      <c r="O63" s="34" t="str">
        <v/>
      </c>
      <c r="P63" s="34" t="str">
        <v/>
      </c>
      <c r="Q63" s="34" t="str">
        <v/>
      </c>
      <c r="R63" s="34" t="str">
        <v/>
      </c>
      <c r="S63" s="34" t="str">
        <v/>
      </c>
      <c r="T63" s="34" t="str">
        <v/>
      </c>
      <c r="U63" s="34" t="str">
        <v>AI</v>
      </c>
      <c r="V63" s="34" t="str">
        <v>631-DCS401</v>
      </c>
      <c r="W63" s="34" t="str">
        <v>4-20mA</v>
      </c>
      <c r="X63" s="34" t="str">
        <v>DCS</v>
      </c>
      <c r="Y63" s="34" t="str">
        <v>C</v>
      </c>
      <c r="Z63" s="34" t="str">
        <v>No</v>
      </c>
      <c r="AA63" s="34" t="str">
        <v>AUX</v>
      </c>
      <c r="AB63" s="34" t="str">
        <v/>
      </c>
    </row>
    <row r="64" spans="1:28" ht="60">
      <c r="A64" s="34" t="str">
        <v>CA-741765-001</v>
      </c>
      <c r="B64" s="34" t="str">
        <v>631-XVAH -0705A</v>
      </c>
      <c r="C64" s="34" t="str">
        <v>631-X-0705</v>
      </c>
      <c r="D64" s="34" t="str">
        <v>DCS</v>
      </c>
      <c r="E64" s="34" t="str">
        <v>VIBRATION ALARM HIGH</v>
      </c>
      <c r="F64" s="34" t="str">
        <v>631-G-0128A OW DRN PMP VBR HI</v>
      </c>
      <c r="G64" s="34" t="str">
        <v/>
      </c>
      <c r="H64" s="34" t="str">
        <v/>
      </c>
      <c r="I64" s="34" t="str">
        <v/>
      </c>
      <c r="J64" s="34" t="str">
        <v/>
      </c>
      <c r="K64" s="34" t="str">
        <v/>
      </c>
      <c r="L64" s="34" t="str">
        <v/>
      </c>
      <c r="M64" s="34" t="str">
        <v>7.6</v>
      </c>
      <c r="N64" s="34" t="str">
        <v/>
      </c>
      <c r="O64" s="34" t="str">
        <v/>
      </c>
      <c r="P64" s="34" t="str">
        <v/>
      </c>
      <c r="Q64" s="34" t="str">
        <v/>
      </c>
      <c r="R64" s="34" t="str">
        <v/>
      </c>
      <c r="S64" s="34" t="str">
        <v>mm/s</v>
      </c>
      <c r="T64" s="34" t="str">
        <v/>
      </c>
      <c r="U64" s="34" t="str">
        <v>SW</v>
      </c>
      <c r="V64" s="34" t="str">
        <v/>
      </c>
      <c r="W64" s="34" t="str">
        <v>-</v>
      </c>
      <c r="X64" s="34" t="str">
        <v>DCS</v>
      </c>
      <c r="Y64" s="34" t="str">
        <v>-</v>
      </c>
      <c r="Z64" s="34" t="str">
        <v>No</v>
      </c>
      <c r="AA64" s="34" t="str">
        <v>AUX</v>
      </c>
      <c r="AB64" s="34" t="str">
        <v/>
      </c>
    </row>
    <row r="65" spans="1:28" ht="48">
      <c r="A65" s="34" t="str">
        <v>CA-741765-001</v>
      </c>
      <c r="B65" s="34" t="str">
        <v>631-XVI  -0705</v>
      </c>
      <c r="C65" s="34" t="str">
        <v>631-X-0705</v>
      </c>
      <c r="D65" s="34" t="str">
        <v>DCS</v>
      </c>
      <c r="E65" s="34" t="str">
        <v>VIBRATION INDICATION</v>
      </c>
      <c r="F65" s="34" t="str">
        <v>631-G-0128A OW DRN PMP VBR</v>
      </c>
      <c r="G65" s="34" t="str">
        <v/>
      </c>
      <c r="H65" s="34" t="str">
        <v/>
      </c>
      <c r="I65" s="34" t="str">
        <v/>
      </c>
      <c r="J65" s="34" t="str">
        <v/>
      </c>
      <c r="K65" s="34" t="str">
        <v/>
      </c>
      <c r="L65" s="34" t="str">
        <v/>
      </c>
      <c r="M65" s="34" t="str">
        <v/>
      </c>
      <c r="N65" s="34" t="str">
        <v/>
      </c>
      <c r="O65" s="34" t="str">
        <v/>
      </c>
      <c r="P65" s="34" t="str">
        <v/>
      </c>
      <c r="Q65" s="34" t="str">
        <v/>
      </c>
      <c r="R65" s="34" t="str">
        <v/>
      </c>
      <c r="S65" s="34" t="str">
        <v/>
      </c>
      <c r="T65" s="34" t="str">
        <v/>
      </c>
      <c r="U65" s="34" t="str">
        <v>SW</v>
      </c>
      <c r="V65" s="34" t="str">
        <v/>
      </c>
      <c r="W65" s="34" t="str">
        <v>-</v>
      </c>
      <c r="X65" s="34" t="str">
        <v>DCS</v>
      </c>
      <c r="Y65" s="34" t="str">
        <v>-</v>
      </c>
      <c r="Z65" s="34" t="str">
        <v>No</v>
      </c>
      <c r="AA65" s="34" t="str">
        <v>AUX</v>
      </c>
      <c r="AB65" s="34" t="str">
        <v/>
      </c>
    </row>
    <row r="66" spans="1:28" ht="60">
      <c r="A66" s="34" t="str">
        <v>CA-741765-001</v>
      </c>
      <c r="B66" s="34" t="str">
        <v>631-XVAH -0705B</v>
      </c>
      <c r="C66" s="34" t="str">
        <v>631-X-0705</v>
      </c>
      <c r="D66" s="34" t="str">
        <v>DCS</v>
      </c>
      <c r="E66" s="34" t="str">
        <v>VIBRATION ALARM HIGH</v>
      </c>
      <c r="F66" s="34" t="str">
        <v>631-G-0128A OW DRN PMP VBR HI</v>
      </c>
      <c r="G66" s="34" t="str">
        <v/>
      </c>
      <c r="H66" s="34" t="str">
        <v/>
      </c>
      <c r="I66" s="34" t="str">
        <v/>
      </c>
      <c r="J66" s="34" t="str">
        <v/>
      </c>
      <c r="K66" s="34" t="str">
        <v/>
      </c>
      <c r="L66" s="34" t="str">
        <v/>
      </c>
      <c r="M66" s="34" t="str">
        <v>12.7</v>
      </c>
      <c r="N66" s="34" t="str">
        <v/>
      </c>
      <c r="O66" s="34" t="str">
        <v/>
      </c>
      <c r="P66" s="34" t="str">
        <v/>
      </c>
      <c r="Q66" s="34" t="str">
        <v/>
      </c>
      <c r="R66" s="34" t="str">
        <v/>
      </c>
      <c r="S66" s="34" t="str">
        <v>mm/s</v>
      </c>
      <c r="T66" s="34" t="str">
        <v/>
      </c>
      <c r="U66" s="34" t="str">
        <v>SW</v>
      </c>
      <c r="V66" s="34" t="str">
        <v/>
      </c>
      <c r="W66" s="34" t="str">
        <v>-</v>
      </c>
      <c r="X66" s="34" t="str">
        <v>DCS</v>
      </c>
      <c r="Y66" s="34" t="str">
        <v>-</v>
      </c>
      <c r="Z66" s="34" t="str">
        <v>No</v>
      </c>
      <c r="AA66" s="34" t="str">
        <v>AUX</v>
      </c>
      <c r="AB66" s="34" t="str">
        <v/>
      </c>
    </row>
    <row r="67" spans="1:28" ht="60">
      <c r="A67" s="34" t="str">
        <v>CA-741765-001</v>
      </c>
      <c r="B67" s="34" t="str">
        <v>631-XVT  -0706</v>
      </c>
      <c r="C67" s="34" t="str">
        <v>631-X-0706</v>
      </c>
      <c r="D67" s="34" t="str">
        <v>FIELD</v>
      </c>
      <c r="E67" s="34" t="str">
        <v>VIBRATION TRANSMITTER</v>
      </c>
      <c r="F67" s="34" t="str">
        <v>631-G-0128B OW DRN PMP VIBR</v>
      </c>
      <c r="G67" s="34" t="str">
        <v>0</v>
      </c>
      <c r="H67" s="34" t="str">
        <v>25.4</v>
      </c>
      <c r="I67" s="34" t="str">
        <v>mm/s</v>
      </c>
      <c r="J67" s="34" t="str">
        <v>0</v>
      </c>
      <c r="K67" s="34" t="str">
        <v>25.4</v>
      </c>
      <c r="L67" s="34" t="str">
        <v>mm/s</v>
      </c>
      <c r="M67" s="34" t="str">
        <v/>
      </c>
      <c r="N67" s="34" t="str">
        <v/>
      </c>
      <c r="O67" s="34" t="str">
        <v/>
      </c>
      <c r="P67" s="34" t="str">
        <v/>
      </c>
      <c r="Q67" s="34" t="str">
        <v/>
      </c>
      <c r="R67" s="34" t="str">
        <v/>
      </c>
      <c r="S67" s="34" t="str">
        <v/>
      </c>
      <c r="T67" s="34" t="str">
        <v/>
      </c>
      <c r="U67" s="34" t="str">
        <v>AI</v>
      </c>
      <c r="V67" s="34" t="str">
        <v>631-DCS401</v>
      </c>
      <c r="W67" s="34" t="str">
        <v>4-20mA</v>
      </c>
      <c r="X67" s="34" t="str">
        <v>DCS</v>
      </c>
      <c r="Y67" s="34" t="str">
        <v>C</v>
      </c>
      <c r="Z67" s="34" t="str">
        <v>No</v>
      </c>
      <c r="AA67" s="34" t="str">
        <v>AUX</v>
      </c>
      <c r="AB67" s="34" t="str">
        <v/>
      </c>
    </row>
    <row r="68" spans="1:28" ht="60">
      <c r="A68" s="34" t="str">
        <v>CA-741765-001</v>
      </c>
      <c r="B68" s="34" t="str">
        <v>631-XVAH -0706A</v>
      </c>
      <c r="C68" s="34" t="str">
        <v>631-X-0706</v>
      </c>
      <c r="D68" s="34" t="str">
        <v>DCS</v>
      </c>
      <c r="E68" s="34" t="str">
        <v>VIBRATION ALARM HIGH</v>
      </c>
      <c r="F68" s="34" t="str">
        <v>631-G-0128B OW DRN PMP VIBR HI</v>
      </c>
      <c r="G68" s="34" t="str">
        <v/>
      </c>
      <c r="H68" s="34" t="str">
        <v/>
      </c>
      <c r="I68" s="34" t="str">
        <v/>
      </c>
      <c r="J68" s="34" t="str">
        <v/>
      </c>
      <c r="K68" s="34" t="str">
        <v/>
      </c>
      <c r="L68" s="34" t="str">
        <v/>
      </c>
      <c r="M68" s="34" t="str">
        <v>7.6</v>
      </c>
      <c r="N68" s="34" t="str">
        <v/>
      </c>
      <c r="O68" s="34" t="str">
        <v/>
      </c>
      <c r="P68" s="34" t="str">
        <v/>
      </c>
      <c r="Q68" s="34" t="str">
        <v/>
      </c>
      <c r="R68" s="34" t="str">
        <v/>
      </c>
      <c r="S68" s="34" t="str">
        <v>mm/s</v>
      </c>
      <c r="T68" s="34" t="str">
        <v/>
      </c>
      <c r="U68" s="34" t="str">
        <v>SW</v>
      </c>
      <c r="V68" s="34" t="str">
        <v/>
      </c>
      <c r="W68" s="34" t="str">
        <v>-</v>
      </c>
      <c r="X68" s="34" t="str">
        <v>DCS</v>
      </c>
      <c r="Y68" s="34" t="str">
        <v>-</v>
      </c>
      <c r="Z68" s="34" t="str">
        <v>No</v>
      </c>
      <c r="AA68" s="34" t="str">
        <v>AUX</v>
      </c>
      <c r="AB68" s="34" t="str">
        <v/>
      </c>
    </row>
    <row r="69" spans="1:28" ht="60">
      <c r="A69" s="34" t="str">
        <v>CA-741765-001</v>
      </c>
      <c r="B69" s="34" t="str">
        <v>631-XVI  -0706</v>
      </c>
      <c r="C69" s="34" t="str">
        <v>631-X-0706</v>
      </c>
      <c r="D69" s="34" t="str">
        <v>DCS</v>
      </c>
      <c r="E69" s="34" t="str">
        <v>VIBRATION INDICATION</v>
      </c>
      <c r="F69" s="34" t="str">
        <v>631-G-0128B OW DRN PMP VIBR</v>
      </c>
      <c r="G69" s="34" t="str">
        <v/>
      </c>
      <c r="H69" s="34" t="str">
        <v/>
      </c>
      <c r="I69" s="34" t="str">
        <v/>
      </c>
      <c r="J69" s="34" t="str">
        <v/>
      </c>
      <c r="K69" s="34" t="str">
        <v/>
      </c>
      <c r="L69" s="34" t="str">
        <v/>
      </c>
      <c r="M69" s="34" t="str">
        <v/>
      </c>
      <c r="N69" s="34" t="str">
        <v/>
      </c>
      <c r="O69" s="34" t="str">
        <v/>
      </c>
      <c r="P69" s="34" t="str">
        <v/>
      </c>
      <c r="Q69" s="34" t="str">
        <v/>
      </c>
      <c r="R69" s="34" t="str">
        <v/>
      </c>
      <c r="S69" s="34" t="str">
        <v/>
      </c>
      <c r="T69" s="34" t="str">
        <v/>
      </c>
      <c r="U69" s="34" t="str">
        <v>SW</v>
      </c>
      <c r="V69" s="34" t="str">
        <v/>
      </c>
      <c r="W69" s="34" t="str">
        <v>-</v>
      </c>
      <c r="X69" s="34" t="str">
        <v>DCS</v>
      </c>
      <c r="Y69" s="34" t="str">
        <v>-</v>
      </c>
      <c r="Z69" s="34" t="str">
        <v>No</v>
      </c>
      <c r="AA69" s="34" t="str">
        <v>AUX</v>
      </c>
      <c r="AB69" s="34" t="str">
        <v/>
      </c>
    </row>
    <row r="70" spans="1:28" ht="60">
      <c r="A70" s="34" t="str">
        <v>CA-741765-001</v>
      </c>
      <c r="B70" s="34" t="str">
        <v>631-XVAH -0706B</v>
      </c>
      <c r="C70" s="34" t="str">
        <v>631-X-0706</v>
      </c>
      <c r="D70" s="34" t="str">
        <v>DCS</v>
      </c>
      <c r="E70" s="34" t="str">
        <v>VIBRATION ALARM HIGH</v>
      </c>
      <c r="F70" s="34" t="str">
        <v>631-G-0128B OW DRN PMP VIBR HI</v>
      </c>
      <c r="G70" s="34" t="str">
        <v/>
      </c>
      <c r="H70" s="34" t="str">
        <v/>
      </c>
      <c r="I70" s="34" t="str">
        <v/>
      </c>
      <c r="J70" s="34" t="str">
        <v/>
      </c>
      <c r="K70" s="34" t="str">
        <v/>
      </c>
      <c r="L70" s="34" t="str">
        <v/>
      </c>
      <c r="M70" s="34" t="str">
        <v>12.7</v>
      </c>
      <c r="N70" s="34" t="str">
        <v/>
      </c>
      <c r="O70" s="34" t="str">
        <v/>
      </c>
      <c r="P70" s="34" t="str">
        <v/>
      </c>
      <c r="Q70" s="34" t="str">
        <v/>
      </c>
      <c r="R70" s="34" t="str">
        <v/>
      </c>
      <c r="S70" s="34" t="str">
        <v>mm/s</v>
      </c>
      <c r="T70" s="34" t="str">
        <v/>
      </c>
      <c r="U70" s="34" t="str">
        <v>SW</v>
      </c>
      <c r="V70" s="34" t="str">
        <v/>
      </c>
      <c r="W70" s="34" t="str">
        <v>-</v>
      </c>
      <c r="X70" s="34" t="str">
        <v>DCS</v>
      </c>
      <c r="Y70" s="34" t="str">
        <v>-</v>
      </c>
      <c r="Z70" s="34" t="str">
        <v>No</v>
      </c>
      <c r="AA70" s="34" t="str">
        <v>AUX</v>
      </c>
      <c r="AB70" s="34" t="str"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0438-66B7-43B2-9FAB-2F69342AFFC5}">
  <dimension ref="A1:AB68"/>
  <sheetViews>
    <sheetView workbookViewId="0"/>
  </sheetViews>
  <sheetFormatPr defaultRowHeight="15"/>
  <cols>
    <col min="1" max="2" width="20" style="34" customWidth="1"/>
    <col min="3" max="3" width="18.140625" style="34" customWidth="1"/>
    <col min="4" max="4" width="9.140625" style="34"/>
    <col min="5" max="5" width="41.85546875" style="34" customWidth="1"/>
    <col min="6" max="6" width="49.5703125" style="34" customWidth="1"/>
    <col min="7" max="26" width="9.140625" style="34"/>
    <col min="27" max="27" width="24.7109375" style="34" customWidth="1"/>
    <col min="28" max="28" width="14.28515625" style="34" customWidth="1"/>
  </cols>
  <sheetData>
    <row r="1" spans="1:28" ht="36" customHeight="1">
      <c r="A1" s="33" t="s">
        <v>4</v>
      </c>
      <c r="B1" s="33" t="s">
        <v>5</v>
      </c>
      <c r="C1" s="33" t="s">
        <v>6</v>
      </c>
      <c r="D1" s="33" t="s">
        <v>7</v>
      </c>
      <c r="E1" s="33" t="s">
        <v>8</v>
      </c>
      <c r="F1" s="33" t="s">
        <v>9</v>
      </c>
      <c r="G1" s="33" t="s">
        <v>10</v>
      </c>
      <c r="H1" s="33" t="s">
        <v>11</v>
      </c>
      <c r="I1" s="33" t="s">
        <v>12</v>
      </c>
      <c r="J1" s="33" t="s">
        <v>13</v>
      </c>
      <c r="K1" s="33" t="s">
        <v>14</v>
      </c>
      <c r="L1" s="33" t="s">
        <v>15</v>
      </c>
      <c r="M1" s="33" t="s">
        <v>16</v>
      </c>
      <c r="N1" s="33" t="s">
        <v>17</v>
      </c>
      <c r="O1" s="33" t="s">
        <v>18</v>
      </c>
      <c r="P1" s="33" t="s">
        <v>19</v>
      </c>
      <c r="Q1" s="33" t="s">
        <v>20</v>
      </c>
      <c r="R1" s="33" t="s">
        <v>21</v>
      </c>
      <c r="S1" s="33" t="s">
        <v>22</v>
      </c>
      <c r="T1" s="33" t="s">
        <v>23</v>
      </c>
      <c r="U1" s="33" t="s">
        <v>24</v>
      </c>
      <c r="V1" s="33" t="s">
        <v>25</v>
      </c>
      <c r="W1" s="33" t="s">
        <v>26</v>
      </c>
      <c r="X1" s="33" t="s">
        <v>27</v>
      </c>
      <c r="Y1" s="33" t="s">
        <v>28</v>
      </c>
      <c r="Z1" s="33" t="s">
        <v>29</v>
      </c>
      <c r="AA1" s="33" t="s">
        <v>30</v>
      </c>
      <c r="AB1" s="33" t="s">
        <v>31</v>
      </c>
    </row>
    <row r="2" spans="1:28" ht="72">
      <c r="A2" s="34" t="str" cm="1">
        <f t="array" ref="A2:AB68">_xlfn.LET(_xlpm.x,_xlfn._xlws.FILTER(FilteredIORecords[],FilteredIORecords[PID]="CA-741752-001",""),IF(_xlpm.x="","",_xlpm.x))</f>
        <v>CA-741752-001</v>
      </c>
      <c r="B2" s="34" t="str">
        <v>631-AY   -3054</v>
      </c>
      <c r="C2" s="34" t="str">
        <v>631-A-3054</v>
      </c>
      <c r="D2" s="34" t="str">
        <v>VALVE</v>
      </c>
      <c r="E2" s="34" t="str">
        <v>SOLENOID VALVE</v>
      </c>
      <c r="F2" s="34" t="str">
        <v>631-D-0304A DSL FUEL FLTR DRN VLV</v>
      </c>
      <c r="G2" s="34" t="str">
        <v/>
      </c>
      <c r="H2" s="34" t="str">
        <v/>
      </c>
      <c r="I2" s="34" t="str">
        <v/>
      </c>
      <c r="J2" s="34" t="str">
        <v/>
      </c>
      <c r="K2" s="34" t="str">
        <v/>
      </c>
      <c r="L2" s="34" t="str">
        <v/>
      </c>
      <c r="M2" s="34" t="str">
        <v/>
      </c>
      <c r="N2" s="34" t="str">
        <v/>
      </c>
      <c r="O2" s="34" t="str">
        <v/>
      </c>
      <c r="P2" s="34" t="str">
        <v/>
      </c>
      <c r="Q2" s="34" t="str">
        <v/>
      </c>
      <c r="R2" s="34" t="str">
        <v/>
      </c>
      <c r="S2" s="34" t="str">
        <v/>
      </c>
      <c r="T2" s="34" t="str">
        <v/>
      </c>
      <c r="U2" s="34" t="str">
        <v>DO</v>
      </c>
      <c r="V2" s="34" t="str">
        <v>631-DCS401</v>
      </c>
      <c r="W2" s="34" t="str">
        <v>24VDC</v>
      </c>
      <c r="X2" s="34" t="str">
        <v>DCS</v>
      </c>
      <c r="Y2" s="34" t="str">
        <v>C</v>
      </c>
      <c r="Z2" s="34" t="str">
        <v>No</v>
      </c>
      <c r="AA2" s="34" t="str">
        <v>AUX</v>
      </c>
      <c r="AB2" s="34" t="str">
        <v/>
      </c>
    </row>
    <row r="3" spans="1:28" ht="84">
      <c r="A3" s="34" t="str">
        <v>CA-741752-001</v>
      </c>
      <c r="B3" s="34" t="str">
        <v>631-XSH  -3054</v>
      </c>
      <c r="C3" s="34" t="str">
        <v>631-A-3054</v>
      </c>
      <c r="D3" s="34" t="str">
        <v>VALVE</v>
      </c>
      <c r="E3" s="34" t="str">
        <v>VALVE POSITION SWITCH OPEN</v>
      </c>
      <c r="F3" s="34" t="str">
        <v>631-D-0304A DSL FUEL FLTR DRN VLV OPN</v>
      </c>
      <c r="G3" s="34" t="str">
        <v/>
      </c>
      <c r="H3" s="34" t="str">
        <v/>
      </c>
      <c r="I3" s="34" t="str">
        <v/>
      </c>
      <c r="J3" s="34" t="str">
        <v/>
      </c>
      <c r="K3" s="34" t="str">
        <v/>
      </c>
      <c r="L3" s="34" t="str">
        <v/>
      </c>
      <c r="M3" s="34" t="str">
        <v/>
      </c>
      <c r="N3" s="34" t="str">
        <v/>
      </c>
      <c r="O3" s="34" t="str">
        <v/>
      </c>
      <c r="P3" s="34" t="str">
        <v/>
      </c>
      <c r="Q3" s="34" t="str">
        <v/>
      </c>
      <c r="R3" s="34" t="str">
        <v/>
      </c>
      <c r="S3" s="34" t="str">
        <v/>
      </c>
      <c r="T3" s="34" t="str">
        <v/>
      </c>
      <c r="U3" s="34" t="str">
        <v>DI</v>
      </c>
      <c r="V3" s="34" t="str">
        <v>631-DCS401</v>
      </c>
      <c r="W3" s="34" t="str">
        <v>FREE</v>
      </c>
      <c r="X3" s="34" t="str">
        <v>DCS</v>
      </c>
      <c r="Y3" s="34" t="str">
        <v>C</v>
      </c>
      <c r="Z3" s="34" t="str">
        <v>No</v>
      </c>
      <c r="AA3" s="34" t="str">
        <v>AUX</v>
      </c>
      <c r="AB3" s="34" t="str">
        <v/>
      </c>
    </row>
    <row r="4" spans="1:28" ht="84">
      <c r="A4" s="34" t="str">
        <v>CA-741752-001</v>
      </c>
      <c r="B4" s="34" t="str">
        <v>631-XSL  -3054</v>
      </c>
      <c r="C4" s="34" t="str">
        <v>631-A-3054</v>
      </c>
      <c r="D4" s="34" t="str">
        <v>VALVE</v>
      </c>
      <c r="E4" s="34" t="str">
        <v>VALVE POSITION SWITCH CLOSED</v>
      </c>
      <c r="F4" s="34" t="str">
        <v>631-D-0304A DSL FUEL FLTR DRN VLV CLS</v>
      </c>
      <c r="G4" s="34" t="str">
        <v/>
      </c>
      <c r="H4" s="34" t="str">
        <v/>
      </c>
      <c r="I4" s="34" t="str">
        <v/>
      </c>
      <c r="J4" s="34" t="str">
        <v/>
      </c>
      <c r="K4" s="34" t="str">
        <v/>
      </c>
      <c r="L4" s="34" t="str">
        <v/>
      </c>
      <c r="M4" s="34" t="str">
        <v/>
      </c>
      <c r="N4" s="34" t="str">
        <v/>
      </c>
      <c r="O4" s="34" t="str">
        <v/>
      </c>
      <c r="P4" s="34" t="str">
        <v/>
      </c>
      <c r="Q4" s="34" t="str">
        <v/>
      </c>
      <c r="R4" s="34" t="str">
        <v/>
      </c>
      <c r="S4" s="34" t="str">
        <v/>
      </c>
      <c r="T4" s="34" t="str">
        <v/>
      </c>
      <c r="U4" s="34" t="str">
        <v>DI</v>
      </c>
      <c r="V4" s="34" t="str">
        <v>631-DCS401</v>
      </c>
      <c r="W4" s="34" t="str">
        <v>FREE</v>
      </c>
      <c r="X4" s="34" t="str">
        <v>DCS</v>
      </c>
      <c r="Y4" s="34" t="str">
        <v>C</v>
      </c>
      <c r="Z4" s="34" t="str">
        <v>No</v>
      </c>
      <c r="AA4" s="34" t="str">
        <v>AUX</v>
      </c>
      <c r="AB4" s="34" t="str">
        <v/>
      </c>
    </row>
    <row r="5" spans="1:28" ht="84">
      <c r="A5" s="34" t="str">
        <v>CA-741752-001</v>
      </c>
      <c r="B5" s="34" t="str">
        <v>631-XIH  -3054</v>
      </c>
      <c r="C5" s="34" t="str">
        <v>631-A-3054</v>
      </c>
      <c r="D5" s="34" t="str">
        <v>DCS</v>
      </c>
      <c r="E5" s="34" t="str">
        <v>STATUS INDICATION OPEN</v>
      </c>
      <c r="F5" s="34" t="str">
        <v>631-D-0304A DSL FUEL FLTR DRN VLV OPN</v>
      </c>
      <c r="G5" s="34" t="str">
        <v/>
      </c>
      <c r="H5" s="34" t="str">
        <v/>
      </c>
      <c r="I5" s="34" t="str">
        <v/>
      </c>
      <c r="J5" s="34" t="str">
        <v/>
      </c>
      <c r="K5" s="34" t="str">
        <v/>
      </c>
      <c r="L5" s="34" t="str">
        <v/>
      </c>
      <c r="M5" s="34" t="str">
        <v/>
      </c>
      <c r="N5" s="34" t="str">
        <v/>
      </c>
      <c r="O5" s="34" t="str">
        <v/>
      </c>
      <c r="P5" s="34" t="str">
        <v/>
      </c>
      <c r="Q5" s="34" t="str">
        <v/>
      </c>
      <c r="R5" s="34" t="str">
        <v/>
      </c>
      <c r="S5" s="34" t="str">
        <v/>
      </c>
      <c r="T5" s="34" t="str">
        <v/>
      </c>
      <c r="U5" s="34" t="str">
        <v>SW</v>
      </c>
      <c r="V5" s="34" t="str">
        <v/>
      </c>
      <c r="W5" s="34" t="str">
        <v>-</v>
      </c>
      <c r="X5" s="34" t="str">
        <v>DCS</v>
      </c>
      <c r="Y5" s="34" t="str">
        <v>-</v>
      </c>
      <c r="Z5" s="34" t="str">
        <v>No</v>
      </c>
      <c r="AA5" s="34" t="str">
        <v>AUX</v>
      </c>
      <c r="AB5" s="34" t="str">
        <v/>
      </c>
    </row>
    <row r="6" spans="1:28" ht="84">
      <c r="A6" s="34" t="str">
        <v>CA-741752-001</v>
      </c>
      <c r="B6" s="34" t="str">
        <v>631-XIL  -3054</v>
      </c>
      <c r="C6" s="34" t="str">
        <v>631-A-3054</v>
      </c>
      <c r="D6" s="34" t="str">
        <v>DCS</v>
      </c>
      <c r="E6" s="34" t="str">
        <v>STATUS INDICATION CLOSED</v>
      </c>
      <c r="F6" s="34" t="str">
        <v>631-D-0304A DSL FUEL FLTR DRN VLV CLS</v>
      </c>
      <c r="G6" s="34" t="str">
        <v/>
      </c>
      <c r="H6" s="34" t="str">
        <v/>
      </c>
      <c r="I6" s="34" t="str">
        <v/>
      </c>
      <c r="J6" s="34" t="str">
        <v/>
      </c>
      <c r="K6" s="34" t="str">
        <v/>
      </c>
      <c r="L6" s="34" t="str">
        <v/>
      </c>
      <c r="M6" s="34" t="str">
        <v/>
      </c>
      <c r="N6" s="34" t="str">
        <v/>
      </c>
      <c r="O6" s="34" t="str">
        <v/>
      </c>
      <c r="P6" s="34" t="str">
        <v/>
      </c>
      <c r="Q6" s="34" t="str">
        <v/>
      </c>
      <c r="R6" s="34" t="str">
        <v/>
      </c>
      <c r="S6" s="34" t="str">
        <v/>
      </c>
      <c r="T6" s="34" t="str">
        <v/>
      </c>
      <c r="U6" s="34" t="str">
        <v>SW</v>
      </c>
      <c r="V6" s="34" t="str">
        <v/>
      </c>
      <c r="W6" s="34" t="str">
        <v>-</v>
      </c>
      <c r="X6" s="34" t="str">
        <v>DCS</v>
      </c>
      <c r="Y6" s="34" t="str">
        <v>-</v>
      </c>
      <c r="Z6" s="34" t="str">
        <v>No</v>
      </c>
      <c r="AA6" s="34" t="str">
        <v>AUX</v>
      </c>
      <c r="AB6" s="34" t="str">
        <v/>
      </c>
    </row>
    <row r="7" spans="1:28" ht="84">
      <c r="A7" s="34" t="str">
        <v>CA-741752-001</v>
      </c>
      <c r="B7" s="34" t="str">
        <v>631-HS   -3054A</v>
      </c>
      <c r="C7" s="34" t="str">
        <v>631-A-3054</v>
      </c>
      <c r="D7" s="34" t="str">
        <v>DCS</v>
      </c>
      <c r="E7" s="34" t="str">
        <v>DCS HAND SWITCH VALVE OPEN</v>
      </c>
      <c r="F7" s="34" t="str">
        <v>631-D-0304A DSL FUEL FLTR DRN OPN</v>
      </c>
      <c r="G7" s="34" t="str">
        <v/>
      </c>
      <c r="H7" s="34" t="str">
        <v/>
      </c>
      <c r="I7" s="34" t="str">
        <v/>
      </c>
      <c r="J7" s="34" t="str">
        <v/>
      </c>
      <c r="K7" s="34" t="str">
        <v/>
      </c>
      <c r="L7" s="34" t="str">
        <v/>
      </c>
      <c r="M7" s="34" t="str">
        <v/>
      </c>
      <c r="N7" s="34" t="str">
        <v/>
      </c>
      <c r="O7" s="34" t="str">
        <v/>
      </c>
      <c r="P7" s="34" t="str">
        <v/>
      </c>
      <c r="Q7" s="34" t="str">
        <v/>
      </c>
      <c r="R7" s="34" t="str">
        <v/>
      </c>
      <c r="S7" s="34" t="str">
        <v/>
      </c>
      <c r="T7" s="34" t="str">
        <v/>
      </c>
      <c r="U7" s="34" t="str">
        <v>SW</v>
      </c>
      <c r="V7" s="34" t="str">
        <v/>
      </c>
      <c r="W7" s="34" t="str">
        <v>-</v>
      </c>
      <c r="X7" s="34" t="str">
        <v>DCS</v>
      </c>
      <c r="Y7" s="34" t="str">
        <v>-</v>
      </c>
      <c r="Z7" s="34" t="str">
        <v>No</v>
      </c>
      <c r="AA7" s="34" t="str">
        <v>AUX</v>
      </c>
      <c r="AB7" s="34" t="str">
        <v/>
      </c>
    </row>
    <row r="8" spans="1:28" ht="72">
      <c r="A8" s="34" t="str">
        <v>CA-741752-001</v>
      </c>
      <c r="B8" s="34" t="str">
        <v>631-HS   -3054B</v>
      </c>
      <c r="C8" s="34" t="str">
        <v>631-A-3054</v>
      </c>
      <c r="D8" s="34" t="str">
        <v>DCS</v>
      </c>
      <c r="E8" s="34" t="str">
        <v>DCS HAND SWITCH VALVE CLOSE</v>
      </c>
      <c r="F8" s="34" t="str">
        <v>631-D-0304A DSL FUEL FLTR DRN CLS</v>
      </c>
      <c r="G8" s="34" t="str">
        <v/>
      </c>
      <c r="H8" s="34" t="str">
        <v/>
      </c>
      <c r="I8" s="34" t="str">
        <v/>
      </c>
      <c r="J8" s="34" t="str">
        <v/>
      </c>
      <c r="K8" s="34" t="str">
        <v/>
      </c>
      <c r="L8" s="34" t="str">
        <v/>
      </c>
      <c r="M8" s="34" t="str">
        <v/>
      </c>
      <c r="N8" s="34" t="str">
        <v/>
      </c>
      <c r="O8" s="34" t="str">
        <v/>
      </c>
      <c r="P8" s="34" t="str">
        <v/>
      </c>
      <c r="Q8" s="34" t="str">
        <v/>
      </c>
      <c r="R8" s="34" t="str">
        <v/>
      </c>
      <c r="S8" s="34" t="str">
        <v/>
      </c>
      <c r="T8" s="34" t="str">
        <v/>
      </c>
      <c r="U8" s="34" t="str">
        <v>SW</v>
      </c>
      <c r="V8" s="34" t="str">
        <v/>
      </c>
      <c r="W8" s="34" t="str">
        <v>-</v>
      </c>
      <c r="X8" s="34" t="str">
        <v>DCS</v>
      </c>
      <c r="Y8" s="34" t="str">
        <v>-</v>
      </c>
      <c r="Z8" s="34" t="str">
        <v>No</v>
      </c>
      <c r="AA8" s="34" t="str">
        <v>AUX</v>
      </c>
      <c r="AB8" s="34" t="str">
        <v/>
      </c>
    </row>
    <row r="9" spans="1:28" ht="72">
      <c r="A9" s="34" t="str">
        <v>CA-741752-001</v>
      </c>
      <c r="B9" s="34" t="str">
        <v>631-XA   -3054</v>
      </c>
      <c r="C9" s="34" t="str">
        <v>631-A-3054</v>
      </c>
      <c r="D9" s="34" t="str">
        <v>DCS</v>
      </c>
      <c r="E9" s="34" t="str">
        <v>FAULT ALARM/TRIP INDICATION</v>
      </c>
      <c r="F9" s="34" t="str">
        <v>631-D-0304A DSL FUEL FLTR DRN FLT</v>
      </c>
      <c r="G9" s="34" t="str">
        <v/>
      </c>
      <c r="H9" s="34" t="str">
        <v/>
      </c>
      <c r="I9" s="34" t="str">
        <v/>
      </c>
      <c r="J9" s="34" t="str">
        <v/>
      </c>
      <c r="K9" s="34" t="str">
        <v/>
      </c>
      <c r="L9" s="34" t="str">
        <v/>
      </c>
      <c r="M9" s="34" t="str">
        <v/>
      </c>
      <c r="N9" s="34" t="str">
        <v/>
      </c>
      <c r="O9" s="34" t="str">
        <v/>
      </c>
      <c r="P9" s="34" t="str">
        <v/>
      </c>
      <c r="Q9" s="34" t="str">
        <v/>
      </c>
      <c r="R9" s="34" t="str">
        <v/>
      </c>
      <c r="S9" s="34" t="str">
        <v/>
      </c>
      <c r="T9" s="34" t="str">
        <v/>
      </c>
      <c r="U9" s="34" t="str">
        <v>SW</v>
      </c>
      <c r="V9" s="34" t="str">
        <v/>
      </c>
      <c r="W9" s="34" t="str">
        <v>-</v>
      </c>
      <c r="X9" s="34" t="str">
        <v>DCS</v>
      </c>
      <c r="Y9" s="34" t="str">
        <v>-</v>
      </c>
      <c r="Z9" s="34" t="str">
        <v>No</v>
      </c>
      <c r="AA9" s="34" t="str">
        <v>AUX</v>
      </c>
      <c r="AB9" s="34" t="str">
        <v/>
      </c>
    </row>
    <row r="10" spans="1:28" ht="72">
      <c r="A10" s="34" t="str">
        <v>CA-741752-001</v>
      </c>
      <c r="B10" s="34" t="str">
        <v>631-AY   -3055</v>
      </c>
      <c r="C10" s="34" t="str">
        <v>631-A-3055</v>
      </c>
      <c r="D10" s="34" t="str">
        <v>VALVE</v>
      </c>
      <c r="E10" s="34" t="str">
        <v>SOLENOID VALVE</v>
      </c>
      <c r="F10" s="34" t="str">
        <v>631-D-0304B DSL FUEL FLTR DRN VLV</v>
      </c>
      <c r="G10" s="34" t="str">
        <v/>
      </c>
      <c r="H10" s="34" t="str">
        <v/>
      </c>
      <c r="I10" s="34" t="str">
        <v/>
      </c>
      <c r="J10" s="34" t="str">
        <v/>
      </c>
      <c r="K10" s="34" t="str">
        <v/>
      </c>
      <c r="L10" s="34" t="str">
        <v/>
      </c>
      <c r="M10" s="34" t="str">
        <v/>
      </c>
      <c r="N10" s="34" t="str">
        <v/>
      </c>
      <c r="O10" s="34" t="str">
        <v/>
      </c>
      <c r="P10" s="34" t="str">
        <v/>
      </c>
      <c r="Q10" s="34" t="str">
        <v/>
      </c>
      <c r="R10" s="34" t="str">
        <v/>
      </c>
      <c r="S10" s="34" t="str">
        <v/>
      </c>
      <c r="T10" s="34" t="str">
        <v/>
      </c>
      <c r="U10" s="34" t="str">
        <v>DO</v>
      </c>
      <c r="V10" s="34" t="str">
        <v>631-DCS401</v>
      </c>
      <c r="W10" s="34" t="str">
        <v>24VDC</v>
      </c>
      <c r="X10" s="34" t="str">
        <v>DCS</v>
      </c>
      <c r="Y10" s="34" t="str">
        <v>C</v>
      </c>
      <c r="Z10" s="34" t="str">
        <v>No</v>
      </c>
      <c r="AA10" s="34" t="str">
        <v>AUX</v>
      </c>
      <c r="AB10" s="34" t="str">
        <v/>
      </c>
    </row>
    <row r="11" spans="1:28" ht="84">
      <c r="A11" s="34" t="str">
        <v>CA-741752-001</v>
      </c>
      <c r="B11" s="34" t="str">
        <v>631-XSH  -3055</v>
      </c>
      <c r="C11" s="34" t="str">
        <v>631-A-3055</v>
      </c>
      <c r="D11" s="34" t="str">
        <v>VALVE</v>
      </c>
      <c r="E11" s="34" t="str">
        <v>VALVE POSITION SWITCH OPEN</v>
      </c>
      <c r="F11" s="34" t="str">
        <v>631-D-0304B DSL FUEL FLTR DRN VLV OPN</v>
      </c>
      <c r="G11" s="34" t="str">
        <v/>
      </c>
      <c r="H11" s="34" t="str">
        <v/>
      </c>
      <c r="I11" s="34" t="str">
        <v/>
      </c>
      <c r="J11" s="34" t="str">
        <v/>
      </c>
      <c r="K11" s="34" t="str">
        <v/>
      </c>
      <c r="L11" s="34" t="str">
        <v/>
      </c>
      <c r="M11" s="34" t="str">
        <v/>
      </c>
      <c r="N11" s="34" t="str">
        <v/>
      </c>
      <c r="O11" s="34" t="str">
        <v/>
      </c>
      <c r="P11" s="34" t="str">
        <v/>
      </c>
      <c r="Q11" s="34" t="str">
        <v/>
      </c>
      <c r="R11" s="34" t="str">
        <v/>
      </c>
      <c r="S11" s="34" t="str">
        <v/>
      </c>
      <c r="T11" s="34" t="str">
        <v/>
      </c>
      <c r="U11" s="34" t="str">
        <v>DI</v>
      </c>
      <c r="V11" s="34" t="str">
        <v>631-DCS401</v>
      </c>
      <c r="W11" s="34" t="str">
        <v>FREE</v>
      </c>
      <c r="X11" s="34" t="str">
        <v>DCS</v>
      </c>
      <c r="Y11" s="34" t="str">
        <v>C</v>
      </c>
      <c r="Z11" s="34" t="str">
        <v>No</v>
      </c>
      <c r="AA11" s="34" t="str">
        <v>AUX</v>
      </c>
      <c r="AB11" s="34" t="str">
        <v/>
      </c>
    </row>
    <row r="12" spans="1:28" ht="84">
      <c r="A12" s="34" t="str">
        <v>CA-741752-001</v>
      </c>
      <c r="B12" s="34" t="str">
        <v>631-XSL  -3055</v>
      </c>
      <c r="C12" s="34" t="str">
        <v>631-A-3055</v>
      </c>
      <c r="D12" s="34" t="str">
        <v>VALVE</v>
      </c>
      <c r="E12" s="34" t="str">
        <v>VALVE POSITION SWITCH CLOSED</v>
      </c>
      <c r="F12" s="34" t="str">
        <v>631-D-0304B DSL FUEL FLTR DRN VLV CLS</v>
      </c>
      <c r="G12" s="34" t="str">
        <v/>
      </c>
      <c r="H12" s="34" t="str">
        <v/>
      </c>
      <c r="I12" s="34" t="str">
        <v/>
      </c>
      <c r="J12" s="34" t="str">
        <v/>
      </c>
      <c r="K12" s="34" t="str">
        <v/>
      </c>
      <c r="L12" s="34" t="str">
        <v/>
      </c>
      <c r="M12" s="34" t="str">
        <v/>
      </c>
      <c r="N12" s="34" t="str">
        <v/>
      </c>
      <c r="O12" s="34" t="str">
        <v/>
      </c>
      <c r="P12" s="34" t="str">
        <v/>
      </c>
      <c r="Q12" s="34" t="str">
        <v/>
      </c>
      <c r="R12" s="34" t="str">
        <v/>
      </c>
      <c r="S12" s="34" t="str">
        <v/>
      </c>
      <c r="T12" s="34" t="str">
        <v/>
      </c>
      <c r="U12" s="34" t="str">
        <v>DI</v>
      </c>
      <c r="V12" s="34" t="str">
        <v>631-DCS401</v>
      </c>
      <c r="W12" s="34" t="str">
        <v>FREE</v>
      </c>
      <c r="X12" s="34" t="str">
        <v>DCS</v>
      </c>
      <c r="Y12" s="34" t="str">
        <v>C</v>
      </c>
      <c r="Z12" s="34" t="str">
        <v>No</v>
      </c>
      <c r="AA12" s="34" t="str">
        <v>AUX</v>
      </c>
      <c r="AB12" s="34" t="str">
        <v/>
      </c>
    </row>
    <row r="13" spans="1:28" ht="84">
      <c r="A13" s="34" t="str">
        <v>CA-741752-001</v>
      </c>
      <c r="B13" s="34" t="str">
        <v>631-XIH  -3055</v>
      </c>
      <c r="C13" s="34" t="str">
        <v>631-A-3055</v>
      </c>
      <c r="D13" s="34" t="str">
        <v>DCS</v>
      </c>
      <c r="E13" s="34" t="str">
        <v>STATUS INDICATION OPEN</v>
      </c>
      <c r="F13" s="34" t="str">
        <v>631-D-0304B DSL FUEL FLTR DRN VLV OPN</v>
      </c>
      <c r="G13" s="34" t="str">
        <v/>
      </c>
      <c r="H13" s="34" t="str">
        <v/>
      </c>
      <c r="I13" s="34" t="str">
        <v/>
      </c>
      <c r="J13" s="34" t="str">
        <v/>
      </c>
      <c r="K13" s="34" t="str">
        <v/>
      </c>
      <c r="L13" s="34" t="str">
        <v/>
      </c>
      <c r="M13" s="34" t="str">
        <v/>
      </c>
      <c r="N13" s="34" t="str">
        <v/>
      </c>
      <c r="O13" s="34" t="str">
        <v/>
      </c>
      <c r="P13" s="34" t="str">
        <v/>
      </c>
      <c r="Q13" s="34" t="str">
        <v/>
      </c>
      <c r="R13" s="34" t="str">
        <v/>
      </c>
      <c r="S13" s="34" t="str">
        <v/>
      </c>
      <c r="T13" s="34" t="str">
        <v/>
      </c>
      <c r="U13" s="34" t="str">
        <v>SW</v>
      </c>
      <c r="V13" s="34" t="str">
        <v/>
      </c>
      <c r="W13" s="34" t="str">
        <v>-</v>
      </c>
      <c r="X13" s="34" t="str">
        <v>DCS</v>
      </c>
      <c r="Y13" s="34" t="str">
        <v>-</v>
      </c>
      <c r="Z13" s="34" t="str">
        <v>No</v>
      </c>
      <c r="AA13" s="34" t="str">
        <v>AUX</v>
      </c>
      <c r="AB13" s="34" t="str">
        <v/>
      </c>
    </row>
    <row r="14" spans="1:28" ht="84">
      <c r="A14" s="34" t="str">
        <v>CA-741752-001</v>
      </c>
      <c r="B14" s="34" t="str">
        <v>631-XIL  -3055</v>
      </c>
      <c r="C14" s="34" t="str">
        <v>631-A-3055</v>
      </c>
      <c r="D14" s="34" t="str">
        <v>DCS</v>
      </c>
      <c r="E14" s="34" t="str">
        <v>STATUS INDICATION CLOSED</v>
      </c>
      <c r="F14" s="34" t="str">
        <v>631-D-0304B DSL FUEL FLTR DRN VLV CLS</v>
      </c>
      <c r="G14" s="34" t="str">
        <v/>
      </c>
      <c r="H14" s="34" t="str">
        <v/>
      </c>
      <c r="I14" s="34" t="str">
        <v/>
      </c>
      <c r="J14" s="34" t="str">
        <v/>
      </c>
      <c r="K14" s="34" t="str">
        <v/>
      </c>
      <c r="L14" s="34" t="str">
        <v/>
      </c>
      <c r="M14" s="34" t="str">
        <v/>
      </c>
      <c r="N14" s="34" t="str">
        <v/>
      </c>
      <c r="O14" s="34" t="str">
        <v/>
      </c>
      <c r="P14" s="34" t="str">
        <v/>
      </c>
      <c r="Q14" s="34" t="str">
        <v/>
      </c>
      <c r="R14" s="34" t="str">
        <v/>
      </c>
      <c r="S14" s="34" t="str">
        <v/>
      </c>
      <c r="T14" s="34" t="str">
        <v/>
      </c>
      <c r="U14" s="34" t="str">
        <v>SW</v>
      </c>
      <c r="V14" s="34" t="str">
        <v/>
      </c>
      <c r="W14" s="34" t="str">
        <v>-</v>
      </c>
      <c r="X14" s="34" t="str">
        <v>DCS</v>
      </c>
      <c r="Y14" s="34" t="str">
        <v>-</v>
      </c>
      <c r="Z14" s="34" t="str">
        <v>No</v>
      </c>
      <c r="AA14" s="34" t="str">
        <v>AUX</v>
      </c>
      <c r="AB14" s="34" t="str">
        <v/>
      </c>
    </row>
    <row r="15" spans="1:28" ht="84">
      <c r="A15" s="34" t="str">
        <v>CA-741752-001</v>
      </c>
      <c r="B15" s="34" t="str">
        <v>631-HS   -3055A</v>
      </c>
      <c r="C15" s="34" t="str">
        <v>631-A-3055</v>
      </c>
      <c r="D15" s="34" t="str">
        <v>DCS</v>
      </c>
      <c r="E15" s="34" t="str">
        <v>DCS HAND SWITCH VALVE OPEN</v>
      </c>
      <c r="F15" s="34" t="str">
        <v>631-D-0304B DSL FUEL FLTR DRN OPN</v>
      </c>
      <c r="G15" s="34" t="str">
        <v/>
      </c>
      <c r="H15" s="34" t="str">
        <v/>
      </c>
      <c r="I15" s="34" t="str">
        <v/>
      </c>
      <c r="J15" s="34" t="str">
        <v/>
      </c>
      <c r="K15" s="34" t="str">
        <v/>
      </c>
      <c r="L15" s="34" t="str">
        <v/>
      </c>
      <c r="M15" s="34" t="str">
        <v/>
      </c>
      <c r="N15" s="34" t="str">
        <v/>
      </c>
      <c r="O15" s="34" t="str">
        <v/>
      </c>
      <c r="P15" s="34" t="str">
        <v/>
      </c>
      <c r="Q15" s="34" t="str">
        <v/>
      </c>
      <c r="R15" s="34" t="str">
        <v/>
      </c>
      <c r="S15" s="34" t="str">
        <v/>
      </c>
      <c r="T15" s="34" t="str">
        <v/>
      </c>
      <c r="U15" s="34" t="str">
        <v>SW</v>
      </c>
      <c r="V15" s="34" t="str">
        <v/>
      </c>
      <c r="W15" s="34" t="str">
        <v>-</v>
      </c>
      <c r="X15" s="34" t="str">
        <v>DCS</v>
      </c>
      <c r="Y15" s="34" t="str">
        <v>-</v>
      </c>
      <c r="Z15" s="34" t="str">
        <v>No</v>
      </c>
      <c r="AA15" s="34" t="str">
        <v>AUX</v>
      </c>
      <c r="AB15" s="34" t="str">
        <v/>
      </c>
    </row>
    <row r="16" spans="1:28" ht="72">
      <c r="A16" s="34" t="str">
        <v>CA-741752-001</v>
      </c>
      <c r="B16" s="34" t="str">
        <v>631-HS   -3055B</v>
      </c>
      <c r="C16" s="34" t="str">
        <v>631-A-3055</v>
      </c>
      <c r="D16" s="34" t="str">
        <v>DCS</v>
      </c>
      <c r="E16" s="34" t="str">
        <v>DCS HAND SWITCH VALVE CLOSE</v>
      </c>
      <c r="F16" s="34" t="str">
        <v>631-D-0304B DSL FUEL FLTR DRN CLS</v>
      </c>
      <c r="G16" s="34" t="str">
        <v/>
      </c>
      <c r="H16" s="34" t="str">
        <v/>
      </c>
      <c r="I16" s="34" t="str">
        <v/>
      </c>
      <c r="J16" s="34" t="str">
        <v/>
      </c>
      <c r="K16" s="34" t="str">
        <v/>
      </c>
      <c r="L16" s="34" t="str">
        <v/>
      </c>
      <c r="M16" s="34" t="str">
        <v/>
      </c>
      <c r="N16" s="34" t="str">
        <v/>
      </c>
      <c r="O16" s="34" t="str">
        <v/>
      </c>
      <c r="P16" s="34" t="str">
        <v/>
      </c>
      <c r="Q16" s="34" t="str">
        <v/>
      </c>
      <c r="R16" s="34" t="str">
        <v/>
      </c>
      <c r="S16" s="34" t="str">
        <v/>
      </c>
      <c r="T16" s="34" t="str">
        <v/>
      </c>
      <c r="U16" s="34" t="str">
        <v>SW</v>
      </c>
      <c r="V16" s="34" t="str">
        <v/>
      </c>
      <c r="W16" s="34" t="str">
        <v>-</v>
      </c>
      <c r="X16" s="34" t="str">
        <v>DCS</v>
      </c>
      <c r="Y16" s="34" t="str">
        <v>-</v>
      </c>
      <c r="Z16" s="34" t="str">
        <v>No</v>
      </c>
      <c r="AA16" s="34" t="str">
        <v>AUX</v>
      </c>
      <c r="AB16" s="34" t="str">
        <v/>
      </c>
    </row>
    <row r="17" spans="1:28" ht="72">
      <c r="A17" s="34" t="str">
        <v>CA-741752-001</v>
      </c>
      <c r="B17" s="34" t="str">
        <v>631-XA   -3055</v>
      </c>
      <c r="C17" s="34" t="str">
        <v>631-A-3055</v>
      </c>
      <c r="D17" s="34" t="str">
        <v>DCS</v>
      </c>
      <c r="E17" s="34" t="str">
        <v>FAULT ALARM/TRIP INDICATION</v>
      </c>
      <c r="F17" s="34" t="str">
        <v>631-D-0304B DSL FUEL FLTR DRN FLT</v>
      </c>
      <c r="G17" s="34" t="str">
        <v/>
      </c>
      <c r="H17" s="34" t="str">
        <v/>
      </c>
      <c r="I17" s="34" t="str">
        <v/>
      </c>
      <c r="J17" s="34" t="str">
        <v/>
      </c>
      <c r="K17" s="34" t="str">
        <v/>
      </c>
      <c r="L17" s="34" t="str">
        <v/>
      </c>
      <c r="M17" s="34" t="str">
        <v/>
      </c>
      <c r="N17" s="34" t="str">
        <v/>
      </c>
      <c r="O17" s="34" t="str">
        <v/>
      </c>
      <c r="P17" s="34" t="str">
        <v/>
      </c>
      <c r="Q17" s="34" t="str">
        <v/>
      </c>
      <c r="R17" s="34" t="str">
        <v/>
      </c>
      <c r="S17" s="34" t="str">
        <v/>
      </c>
      <c r="T17" s="34" t="str">
        <v/>
      </c>
      <c r="U17" s="34" t="str">
        <v>SW</v>
      </c>
      <c r="V17" s="34" t="str">
        <v/>
      </c>
      <c r="W17" s="34" t="str">
        <v>-</v>
      </c>
      <c r="X17" s="34" t="str">
        <v>DCS</v>
      </c>
      <c r="Y17" s="34" t="str">
        <v>-</v>
      </c>
      <c r="Z17" s="34" t="str">
        <v>No</v>
      </c>
      <c r="AA17" s="34" t="str">
        <v>AUX</v>
      </c>
      <c r="AB17" s="34" t="str">
        <v/>
      </c>
    </row>
    <row r="18" spans="1:28" ht="72">
      <c r="A18" s="34" t="str">
        <v>CA-741752-001</v>
      </c>
      <c r="B18" s="34" t="str">
        <v>631-FIT  -3051</v>
      </c>
      <c r="C18" s="34" t="str">
        <v>631-F-3051</v>
      </c>
      <c r="D18" s="34" t="str">
        <v>FIELD</v>
      </c>
      <c r="E18" s="34" t="str">
        <v>FLOW INDICATING TRANSMITTER - D/P</v>
      </c>
      <c r="F18" s="34" t="str">
        <v>631-D-0305 DSL FUEL TNK INL FLO</v>
      </c>
      <c r="G18" s="34" t="str">
        <v>0</v>
      </c>
      <c r="H18" s="34" t="str">
        <v>100</v>
      </c>
      <c r="I18" s="34" t="str">
        <v>inH2O</v>
      </c>
      <c r="J18" s="34" t="str">
        <v>0</v>
      </c>
      <c r="K18" s="34" t="str">
        <v>110</v>
      </c>
      <c r="L18" s="34" t="str">
        <v>US gal/min</v>
      </c>
      <c r="M18" s="34" t="str">
        <v/>
      </c>
      <c r="N18" s="34" t="str">
        <v/>
      </c>
      <c r="O18" s="34" t="str">
        <v/>
      </c>
      <c r="P18" s="34" t="str">
        <v/>
      </c>
      <c r="Q18" s="34" t="str">
        <v/>
      </c>
      <c r="R18" s="34" t="str">
        <v/>
      </c>
      <c r="S18" s="34" t="str">
        <v/>
      </c>
      <c r="T18" s="34" t="str">
        <v/>
      </c>
      <c r="U18" s="34" t="str">
        <v>HART AI</v>
      </c>
      <c r="V18" s="34" t="str">
        <v>631-DCS401</v>
      </c>
      <c r="W18" s="34" t="str">
        <v>4-20mA</v>
      </c>
      <c r="X18" s="34" t="str">
        <v>DCS</v>
      </c>
      <c r="Y18" s="34" t="str">
        <v>H</v>
      </c>
      <c r="Z18" s="34" t="str">
        <v>No</v>
      </c>
      <c r="AA18" s="34" t="str">
        <v>AUX</v>
      </c>
      <c r="AB18" s="34" t="str">
        <v/>
      </c>
    </row>
    <row r="19" spans="1:28" ht="72">
      <c r="A19" s="34" t="str">
        <v>CA-741752-001</v>
      </c>
      <c r="B19" s="34" t="str">
        <v>631-FQI  -3051</v>
      </c>
      <c r="C19" s="34" t="str">
        <v>631-F-3051</v>
      </c>
      <c r="D19" s="34" t="str">
        <v>DCS</v>
      </c>
      <c r="E19" s="34" t="str">
        <v>FLOW TOTALIZING INDICATOR</v>
      </c>
      <c r="F19" s="34" t="str">
        <v>631-D-0305 DSL FUEL TNK INL FLO TOT</v>
      </c>
      <c r="G19" s="34" t="str">
        <v/>
      </c>
      <c r="H19" s="34" t="str">
        <v/>
      </c>
      <c r="I19" s="34" t="str">
        <v/>
      </c>
      <c r="J19" s="34" t="str">
        <v/>
      </c>
      <c r="K19" s="34" t="str">
        <v/>
      </c>
      <c r="L19" s="34" t="str">
        <v/>
      </c>
      <c r="M19" s="34" t="str">
        <v/>
      </c>
      <c r="N19" s="34" t="str">
        <v/>
      </c>
      <c r="O19" s="34" t="str">
        <v/>
      </c>
      <c r="P19" s="34" t="str">
        <v/>
      </c>
      <c r="Q19" s="34" t="str">
        <v/>
      </c>
      <c r="R19" s="34" t="str">
        <v/>
      </c>
      <c r="S19" s="34" t="str">
        <v/>
      </c>
      <c r="T19" s="34" t="str">
        <v/>
      </c>
      <c r="U19" s="34" t="str">
        <v>SW</v>
      </c>
      <c r="V19" s="34" t="str">
        <v/>
      </c>
      <c r="W19" s="34" t="str">
        <v>-</v>
      </c>
      <c r="X19" s="34" t="str">
        <v>DCS</v>
      </c>
      <c r="Y19" s="34" t="str">
        <v>-</v>
      </c>
      <c r="Z19" s="34" t="str">
        <v>No</v>
      </c>
      <c r="AA19" s="34" t="str">
        <v>AUX</v>
      </c>
      <c r="AB19" s="34" t="str">
        <v/>
      </c>
    </row>
    <row r="20" spans="1:28" ht="84">
      <c r="A20" s="34" t="str">
        <v>CA-741752-001</v>
      </c>
      <c r="B20" s="34" t="str">
        <v>631-FIT  -3052</v>
      </c>
      <c r="C20" s="34" t="str">
        <v>631-F-3052</v>
      </c>
      <c r="D20" s="34" t="str">
        <v>FIELD</v>
      </c>
      <c r="E20" s="34" t="str">
        <v>FLOW INDICATING TRANSMITTER - D/P</v>
      </c>
      <c r="F20" s="34" t="str">
        <v>631-G-0306A/B DSL FUEL PMP DISCH FLO</v>
      </c>
      <c r="G20" s="34" t="str">
        <v>0</v>
      </c>
      <c r="H20" s="34" t="str">
        <v>100</v>
      </c>
      <c r="I20" s="34" t="str">
        <v>inH2O</v>
      </c>
      <c r="J20" s="34" t="str">
        <v>0</v>
      </c>
      <c r="K20" s="34" t="str">
        <v>45</v>
      </c>
      <c r="L20" s="34" t="str">
        <v>US gal/min</v>
      </c>
      <c r="M20" s="34" t="str">
        <v/>
      </c>
      <c r="N20" s="34" t="str">
        <v/>
      </c>
      <c r="O20" s="34" t="str">
        <v/>
      </c>
      <c r="P20" s="34" t="str">
        <v/>
      </c>
      <c r="Q20" s="34" t="str">
        <v/>
      </c>
      <c r="R20" s="34" t="str">
        <v/>
      </c>
      <c r="S20" s="34" t="str">
        <v/>
      </c>
      <c r="T20" s="34" t="str">
        <v/>
      </c>
      <c r="U20" s="34" t="str">
        <v>HART AI</v>
      </c>
      <c r="V20" s="34" t="str">
        <v>631-DCS401</v>
      </c>
      <c r="W20" s="34" t="str">
        <v>4-20mA</v>
      </c>
      <c r="X20" s="34" t="str">
        <v>DCS</v>
      </c>
      <c r="Y20" s="34" t="str">
        <v>H</v>
      </c>
      <c r="Z20" s="34" t="str">
        <v>No</v>
      </c>
      <c r="AA20" s="34" t="str">
        <v>AUX</v>
      </c>
      <c r="AB20" s="34" t="str">
        <v/>
      </c>
    </row>
    <row r="21" spans="1:28" ht="84">
      <c r="A21" s="34" t="str">
        <v>CA-741752-001</v>
      </c>
      <c r="B21" s="34" t="str">
        <v>631-FIC  -3052</v>
      </c>
      <c r="C21" s="34" t="str">
        <v>631-F-3052</v>
      </c>
      <c r="D21" s="34" t="str">
        <v>DCS</v>
      </c>
      <c r="E21" s="34" t="str">
        <v>FLOW INDICATING CONTROLLER</v>
      </c>
      <c r="F21" s="34" t="str">
        <v>631-D-0305 DSL FUEL RECYC FLO CTRL</v>
      </c>
      <c r="G21" s="34" t="str">
        <v/>
      </c>
      <c r="H21" s="34" t="str">
        <v/>
      </c>
      <c r="I21" s="34" t="str">
        <v/>
      </c>
      <c r="J21" s="34" t="str">
        <v/>
      </c>
      <c r="K21" s="34" t="str">
        <v/>
      </c>
      <c r="L21" s="34" t="str">
        <v/>
      </c>
      <c r="M21" s="34" t="str">
        <v/>
      </c>
      <c r="N21" s="34" t="str">
        <v/>
      </c>
      <c r="O21" s="34" t="str">
        <v/>
      </c>
      <c r="P21" s="34" t="str">
        <v/>
      </c>
      <c r="Q21" s="34" t="str">
        <v/>
      </c>
      <c r="R21" s="34" t="str">
        <v/>
      </c>
      <c r="S21" s="34" t="str">
        <v/>
      </c>
      <c r="T21" s="34" t="str">
        <v/>
      </c>
      <c r="U21" s="34" t="str">
        <v>SW</v>
      </c>
      <c r="V21" s="34" t="str">
        <v/>
      </c>
      <c r="W21" s="34" t="str">
        <v>-</v>
      </c>
      <c r="X21" s="34" t="str">
        <v>DCS</v>
      </c>
      <c r="Y21" s="34" t="str">
        <v>-</v>
      </c>
      <c r="Z21" s="34" t="str">
        <v>No</v>
      </c>
      <c r="AA21" s="34" t="str">
        <v>AUX</v>
      </c>
      <c r="AB21" s="34" t="str">
        <v/>
      </c>
    </row>
    <row r="22" spans="1:28" ht="84">
      <c r="A22" s="34" t="str">
        <v>CA-741752-001</v>
      </c>
      <c r="B22" s="34" t="str">
        <v>631-FY   -3052</v>
      </c>
      <c r="C22" s="34" t="str">
        <v>631-F-3052</v>
      </c>
      <c r="D22" s="34" t="str">
        <v>VALVE</v>
      </c>
      <c r="E22" s="34" t="str">
        <v>I/P CONVERTER</v>
      </c>
      <c r="F22" s="34" t="str">
        <v>631-G-0306A/B DSL FUEL PMP DISCH FLO</v>
      </c>
      <c r="G22" s="34" t="str">
        <v/>
      </c>
      <c r="H22" s="34" t="str">
        <v/>
      </c>
      <c r="I22" s="34" t="str">
        <v/>
      </c>
      <c r="J22" s="34" t="str">
        <v/>
      </c>
      <c r="K22" s="34" t="str">
        <v/>
      </c>
      <c r="L22" s="34" t="str">
        <v/>
      </c>
      <c r="M22" s="34" t="str">
        <v/>
      </c>
      <c r="N22" s="34" t="str">
        <v/>
      </c>
      <c r="O22" s="34" t="str">
        <v/>
      </c>
      <c r="P22" s="34" t="str">
        <v/>
      </c>
      <c r="Q22" s="34" t="str">
        <v/>
      </c>
      <c r="R22" s="34" t="str">
        <v/>
      </c>
      <c r="S22" s="34" t="str">
        <v/>
      </c>
      <c r="T22" s="34" t="str">
        <v/>
      </c>
      <c r="U22" s="34" t="str">
        <v>HART AO</v>
      </c>
      <c r="V22" s="34" t="str">
        <v>631-DCS401</v>
      </c>
      <c r="W22" s="34" t="str">
        <v>4-20mA</v>
      </c>
      <c r="X22" s="34" t="str">
        <v>DCS</v>
      </c>
      <c r="Y22" s="34" t="str">
        <v>H</v>
      </c>
      <c r="Z22" s="34" t="str">
        <v>No</v>
      </c>
      <c r="AA22" s="34" t="str">
        <v>AUX</v>
      </c>
      <c r="AB22" s="34" t="str">
        <v/>
      </c>
    </row>
    <row r="23" spans="1:28" ht="84">
      <c r="A23" s="34" t="str">
        <v>CA-741752-001</v>
      </c>
      <c r="B23" s="34" t="str">
        <v>631-FAL  -3052</v>
      </c>
      <c r="C23" s="34" t="str">
        <v>631-F-3052</v>
      </c>
      <c r="D23" s="34" t="str">
        <v>DCS</v>
      </c>
      <c r="E23" s="34" t="str">
        <v>FLOW ALARM LOW</v>
      </c>
      <c r="F23" s="34" t="str">
        <v>631-G-0306A/B DSL FUEL PMP DISCH FLO LO</v>
      </c>
      <c r="G23" s="34" t="str">
        <v/>
      </c>
      <c r="H23" s="34" t="str">
        <v/>
      </c>
      <c r="I23" s="34" t="str">
        <v/>
      </c>
      <c r="J23" s="34" t="str">
        <v/>
      </c>
      <c r="K23" s="34" t="str">
        <v/>
      </c>
      <c r="L23" s="34" t="str">
        <v/>
      </c>
      <c r="M23" s="34" t="str">
        <v/>
      </c>
      <c r="N23" s="34" t="str">
        <v/>
      </c>
      <c r="O23" s="34" t="str">
        <v/>
      </c>
      <c r="P23" s="34" t="str">
        <v>14</v>
      </c>
      <c r="Q23" s="34" t="str">
        <v/>
      </c>
      <c r="R23" s="34" t="str">
        <v/>
      </c>
      <c r="S23" s="34" t="str">
        <v>US gal/min</v>
      </c>
      <c r="T23" s="34" t="str">
        <v/>
      </c>
      <c r="U23" s="34" t="str">
        <v>SW</v>
      </c>
      <c r="V23" s="34" t="str">
        <v/>
      </c>
      <c r="W23" s="34" t="str">
        <v>-</v>
      </c>
      <c r="X23" s="34" t="str">
        <v>DCS</v>
      </c>
      <c r="Y23" s="34" t="str">
        <v>-</v>
      </c>
      <c r="Z23" s="34" t="str">
        <v>No</v>
      </c>
      <c r="AA23" s="34" t="str">
        <v>AUX</v>
      </c>
      <c r="AB23" s="34" t="str">
        <v/>
      </c>
    </row>
    <row r="24" spans="1:28" ht="72">
      <c r="A24" s="34" t="str">
        <v>CA-741752-001</v>
      </c>
      <c r="B24" s="34" t="str">
        <v>631-HS   -3053</v>
      </c>
      <c r="C24" s="34" t="str">
        <v>631-H-3053</v>
      </c>
      <c r="D24" s="34" t="str">
        <v>LP</v>
      </c>
      <c r="E24" s="34" t="str">
        <v>HAND SWITCH</v>
      </c>
      <c r="F24" s="34" t="str">
        <v>631-LCP-4035 DSL FUEL TNK LVL ACK</v>
      </c>
      <c r="G24" s="34" t="str">
        <v/>
      </c>
      <c r="H24" s="34" t="str">
        <v/>
      </c>
      <c r="I24" s="34" t="str">
        <v/>
      </c>
      <c r="J24" s="34" t="str">
        <v/>
      </c>
      <c r="K24" s="34" t="str">
        <v/>
      </c>
      <c r="L24" s="34" t="str">
        <v/>
      </c>
      <c r="M24" s="34" t="str">
        <v/>
      </c>
      <c r="N24" s="34" t="str">
        <v/>
      </c>
      <c r="O24" s="34" t="str">
        <v/>
      </c>
      <c r="P24" s="34" t="str">
        <v/>
      </c>
      <c r="Q24" s="34" t="str">
        <v/>
      </c>
      <c r="R24" s="34" t="str">
        <v/>
      </c>
      <c r="S24" s="34" t="str">
        <v/>
      </c>
      <c r="T24" s="34" t="str">
        <v/>
      </c>
      <c r="U24" s="34" t="str">
        <v>DI</v>
      </c>
      <c r="V24" s="34" t="str">
        <v>631-DCS401</v>
      </c>
      <c r="W24" s="34" t="str">
        <v>FREE</v>
      </c>
      <c r="X24" s="34" t="str">
        <v>DCS</v>
      </c>
      <c r="Y24" s="34" t="str">
        <v>C</v>
      </c>
      <c r="Z24" s="34" t="str">
        <v>No</v>
      </c>
      <c r="AA24" s="34" t="str">
        <v>AUX</v>
      </c>
      <c r="AB24" s="34" t="str">
        <v/>
      </c>
    </row>
    <row r="25" spans="1:28" ht="48">
      <c r="A25" s="34" t="str">
        <v>CA-741752-001</v>
      </c>
      <c r="B25" s="34" t="str">
        <v>631-HS   -3057</v>
      </c>
      <c r="C25" s="34" t="str">
        <v>631-H-3057</v>
      </c>
      <c r="D25" s="34" t="str">
        <v>LP</v>
      </c>
      <c r="E25" s="34" t="str">
        <v>HAND SWITCH</v>
      </c>
      <c r="F25" s="34" t="str">
        <v>631-LCP-4035 LAMP TST</v>
      </c>
      <c r="G25" s="34" t="str">
        <v/>
      </c>
      <c r="H25" s="34" t="str">
        <v/>
      </c>
      <c r="I25" s="34" t="str">
        <v/>
      </c>
      <c r="J25" s="34" t="str">
        <v/>
      </c>
      <c r="K25" s="34" t="str">
        <v/>
      </c>
      <c r="L25" s="34" t="str">
        <v/>
      </c>
      <c r="M25" s="34" t="str">
        <v/>
      </c>
      <c r="N25" s="34" t="str">
        <v/>
      </c>
      <c r="O25" s="34" t="str">
        <v/>
      </c>
      <c r="P25" s="34" t="str">
        <v/>
      </c>
      <c r="Q25" s="34" t="str">
        <v/>
      </c>
      <c r="R25" s="34" t="str">
        <v/>
      </c>
      <c r="S25" s="34" t="str">
        <v/>
      </c>
      <c r="T25" s="34" t="str">
        <v/>
      </c>
      <c r="U25" s="34" t="str">
        <v>DI</v>
      </c>
      <c r="V25" s="34" t="str">
        <v>631-DCS401</v>
      </c>
      <c r="W25" s="34" t="str">
        <v>FREE</v>
      </c>
      <c r="X25" s="34" t="str">
        <v>DCS</v>
      </c>
      <c r="Y25" s="34" t="str">
        <v>C</v>
      </c>
      <c r="Z25" s="34" t="str">
        <v>No</v>
      </c>
      <c r="AA25" s="34" t="str">
        <v>AUX</v>
      </c>
      <c r="AB25" s="34" t="str">
        <v/>
      </c>
    </row>
    <row r="26" spans="1:28" ht="72">
      <c r="A26" s="34" t="str">
        <v>CA-741752-001</v>
      </c>
      <c r="B26" s="34" t="str">
        <v>631-LIT  -3052</v>
      </c>
      <c r="C26" s="34" t="str">
        <v>631-L-3052</v>
      </c>
      <c r="D26" s="34" t="str">
        <v>FIELD</v>
      </c>
      <c r="E26" s="34" t="str">
        <v>LEVEL TRANSMITTER GUIDED WAVE RADAR</v>
      </c>
      <c r="F26" s="34" t="str">
        <v>631-D-0305 DSL FUEL TNK LVL</v>
      </c>
      <c r="G26" s="34" t="str">
        <v>6</v>
      </c>
      <c r="H26" s="34" t="str">
        <v>135</v>
      </c>
      <c r="I26" s="34" t="str">
        <v>in</v>
      </c>
      <c r="J26" s="34" t="str">
        <v>0</v>
      </c>
      <c r="K26" s="34" t="str">
        <v>100</v>
      </c>
      <c r="L26" s="34" t="str">
        <v>%</v>
      </c>
      <c r="M26" s="34" t="str">
        <v/>
      </c>
      <c r="N26" s="34" t="str">
        <v/>
      </c>
      <c r="O26" s="34" t="str">
        <v/>
      </c>
      <c r="P26" s="34" t="str">
        <v/>
      </c>
      <c r="Q26" s="34" t="str">
        <v/>
      </c>
      <c r="R26" s="34" t="str">
        <v/>
      </c>
      <c r="S26" s="34" t="str">
        <v/>
      </c>
      <c r="T26" s="34" t="str">
        <v>631-D-0305</v>
      </c>
      <c r="U26" s="34" t="str">
        <v>HART AI</v>
      </c>
      <c r="V26" s="34" t="str">
        <v>631-DCS401</v>
      </c>
      <c r="W26" s="34" t="str">
        <v>4-20mA</v>
      </c>
      <c r="X26" s="34" t="str">
        <v>DCS</v>
      </c>
      <c r="Y26" s="34" t="str">
        <v>H</v>
      </c>
      <c r="Z26" s="34" t="str">
        <v>No</v>
      </c>
      <c r="AA26" s="34" t="str">
        <v>AUX</v>
      </c>
      <c r="AB26" s="34" t="str">
        <v/>
      </c>
    </row>
    <row r="27" spans="1:28" ht="72">
      <c r="A27" s="34" t="str">
        <v>CA-741752-001</v>
      </c>
      <c r="B27" s="34" t="str">
        <v>631-XL   -3052</v>
      </c>
      <c r="C27" s="34" t="str">
        <v>631-L-3052</v>
      </c>
      <c r="D27" s="34" t="str">
        <v>LP</v>
      </c>
      <c r="E27" s="34" t="str">
        <v>HIGH LEVEL LOCAL PANEL LIGHT</v>
      </c>
      <c r="F27" s="34" t="str">
        <v>631-LCP-4035 DSL FUEL TNK LVL HI</v>
      </c>
      <c r="G27" s="34" t="str">
        <v/>
      </c>
      <c r="H27" s="34" t="str">
        <v/>
      </c>
      <c r="I27" s="34" t="str">
        <v/>
      </c>
      <c r="J27" s="34" t="str">
        <v/>
      </c>
      <c r="K27" s="34" t="str">
        <v/>
      </c>
      <c r="L27" s="34" t="str">
        <v/>
      </c>
      <c r="M27" s="34" t="str">
        <v/>
      </c>
      <c r="N27" s="34" t="str">
        <v/>
      </c>
      <c r="O27" s="34" t="str">
        <v/>
      </c>
      <c r="P27" s="34" t="str">
        <v/>
      </c>
      <c r="Q27" s="34" t="str">
        <v/>
      </c>
      <c r="R27" s="34" t="str">
        <v/>
      </c>
      <c r="S27" s="34" t="str">
        <v/>
      </c>
      <c r="T27" s="34" t="str">
        <v/>
      </c>
      <c r="U27" s="34" t="str">
        <v>DO</v>
      </c>
      <c r="V27" s="34" t="str">
        <v>631-DCS401</v>
      </c>
      <c r="W27" s="34" t="str">
        <v>24VDC</v>
      </c>
      <c r="X27" s="34" t="str">
        <v>DCS</v>
      </c>
      <c r="Y27" s="34" t="str">
        <v>C</v>
      </c>
      <c r="Z27" s="34" t="str">
        <v>No</v>
      </c>
      <c r="AA27" s="34" t="str">
        <v>AUX</v>
      </c>
      <c r="AB27" s="34" t="str">
        <v/>
      </c>
    </row>
    <row r="28" spans="1:28" ht="60">
      <c r="A28" s="34" t="str">
        <v>CA-741752-001</v>
      </c>
      <c r="B28" s="34" t="str">
        <v>631-LI   -3052</v>
      </c>
      <c r="C28" s="34" t="str">
        <v>631-L-3052</v>
      </c>
      <c r="D28" s="34" t="str">
        <v>DCS</v>
      </c>
      <c r="E28" s="34" t="str">
        <v>LEVEL INDICATION</v>
      </c>
      <c r="F28" s="34" t="str">
        <v>631-D-0305 DSL FUEL TNK LVL</v>
      </c>
      <c r="G28" s="34" t="str">
        <v/>
      </c>
      <c r="H28" s="34" t="str">
        <v/>
      </c>
      <c r="I28" s="34" t="str">
        <v/>
      </c>
      <c r="J28" s="34" t="str">
        <v/>
      </c>
      <c r="K28" s="34" t="str">
        <v/>
      </c>
      <c r="L28" s="34" t="str">
        <v/>
      </c>
      <c r="M28" s="34" t="str">
        <v/>
      </c>
      <c r="N28" s="34" t="str">
        <v/>
      </c>
      <c r="O28" s="34" t="str">
        <v/>
      </c>
      <c r="P28" s="34" t="str">
        <v/>
      </c>
      <c r="Q28" s="34" t="str">
        <v/>
      </c>
      <c r="R28" s="34" t="str">
        <v/>
      </c>
      <c r="S28" s="34" t="str">
        <v/>
      </c>
      <c r="T28" s="34" t="str">
        <v/>
      </c>
      <c r="U28" s="34" t="str">
        <v>SW</v>
      </c>
      <c r="V28" s="34" t="str">
        <v/>
      </c>
      <c r="W28" s="34" t="str">
        <v>-</v>
      </c>
      <c r="X28" s="34" t="str">
        <v>DCS</v>
      </c>
      <c r="Y28" s="34" t="str">
        <v>-</v>
      </c>
      <c r="Z28" s="34" t="str">
        <v>No</v>
      </c>
      <c r="AA28" s="34" t="str">
        <v>AUX</v>
      </c>
      <c r="AB28" s="34" t="str">
        <v/>
      </c>
    </row>
    <row r="29" spans="1:28" ht="60">
      <c r="A29" s="34" t="str">
        <v>CA-741752-001</v>
      </c>
      <c r="B29" s="34" t="str">
        <v>631-LI   -3052A</v>
      </c>
      <c r="C29" s="34" t="str">
        <v>631-L-3052</v>
      </c>
      <c r="D29" s="34" t="str">
        <v>LP</v>
      </c>
      <c r="E29" s="34" t="str">
        <v>LOOP POWER INDICATOR</v>
      </c>
      <c r="F29" s="34" t="str">
        <v>631-LCP-4035 DSL FUEL TNK LVL</v>
      </c>
      <c r="G29" s="34" t="str">
        <v/>
      </c>
      <c r="H29" s="34" t="str">
        <v/>
      </c>
      <c r="I29" s="34" t="str">
        <v/>
      </c>
      <c r="J29" s="34" t="str">
        <v/>
      </c>
      <c r="K29" s="34" t="str">
        <v/>
      </c>
      <c r="L29" s="34" t="str">
        <v/>
      </c>
      <c r="M29" s="34" t="str">
        <v/>
      </c>
      <c r="N29" s="34" t="str">
        <v/>
      </c>
      <c r="O29" s="34" t="str">
        <v/>
      </c>
      <c r="P29" s="34" t="str">
        <v/>
      </c>
      <c r="Q29" s="34" t="str">
        <v/>
      </c>
      <c r="R29" s="34" t="str">
        <v/>
      </c>
      <c r="S29" s="34" t="str">
        <v/>
      </c>
      <c r="T29" s="34" t="str">
        <v/>
      </c>
      <c r="U29" s="34" t="str">
        <v>AO</v>
      </c>
      <c r="V29" s="34" t="str">
        <v>631-DCS401</v>
      </c>
      <c r="W29" s="34" t="str">
        <v>4-20mA</v>
      </c>
      <c r="X29" s="34" t="str">
        <v>DCS</v>
      </c>
      <c r="Y29" s="34" t="str">
        <v>C</v>
      </c>
      <c r="Z29" s="34" t="str">
        <v>No</v>
      </c>
      <c r="AA29" s="34" t="str">
        <v>AUX</v>
      </c>
      <c r="AB29" s="34" t="str">
        <v/>
      </c>
    </row>
    <row r="30" spans="1:28" ht="72">
      <c r="A30" s="34" t="str">
        <v>CA-741752-001</v>
      </c>
      <c r="B30" s="34" t="str">
        <v>631-LAH  -3052</v>
      </c>
      <c r="C30" s="34" t="str">
        <v>631-L-3052</v>
      </c>
      <c r="D30" s="34" t="str">
        <v>DCS</v>
      </c>
      <c r="E30" s="34" t="str">
        <v>LEVEL ALARM HIGH</v>
      </c>
      <c r="F30" s="34" t="str">
        <v>631-D-0305 DSL FUEL TNK LVL HI</v>
      </c>
      <c r="G30" s="34" t="str">
        <v/>
      </c>
      <c r="H30" s="34" t="str">
        <v/>
      </c>
      <c r="I30" s="34" t="str">
        <v/>
      </c>
      <c r="J30" s="34" t="str">
        <v/>
      </c>
      <c r="K30" s="34" t="str">
        <v/>
      </c>
      <c r="L30" s="34" t="str">
        <v/>
      </c>
      <c r="M30" s="34" t="str">
        <v>83.7</v>
      </c>
      <c r="N30" s="34" t="str">
        <v/>
      </c>
      <c r="O30" s="34" t="str">
        <v/>
      </c>
      <c r="P30" s="34" t="str">
        <v/>
      </c>
      <c r="Q30" s="34" t="str">
        <v/>
      </c>
      <c r="R30" s="34" t="str">
        <v/>
      </c>
      <c r="S30" s="34" t="str">
        <v>%</v>
      </c>
      <c r="T30" s="34" t="str">
        <v/>
      </c>
      <c r="U30" s="34" t="str">
        <v>SW</v>
      </c>
      <c r="V30" s="34" t="str">
        <v/>
      </c>
      <c r="W30" s="34" t="str">
        <v>-</v>
      </c>
      <c r="X30" s="34" t="str">
        <v>DCS</v>
      </c>
      <c r="Y30" s="34" t="str">
        <v>-</v>
      </c>
      <c r="Z30" s="34" t="str">
        <v>No</v>
      </c>
      <c r="AA30" s="34" t="str">
        <v>AUX</v>
      </c>
      <c r="AB30" s="34" t="str">
        <v/>
      </c>
    </row>
    <row r="31" spans="1:28" ht="72">
      <c r="A31" s="34" t="str">
        <v>CA-741752-001</v>
      </c>
      <c r="B31" s="34" t="str">
        <v>631-LAL  -3052</v>
      </c>
      <c r="C31" s="34" t="str">
        <v>631-L-3052</v>
      </c>
      <c r="D31" s="34" t="str">
        <v>DCS</v>
      </c>
      <c r="E31" s="34" t="str">
        <v>LEVEL ALARM LOW</v>
      </c>
      <c r="F31" s="34" t="str">
        <v>631-D-0305 DSL FUEL TNK LVL LO</v>
      </c>
      <c r="G31" s="34" t="str">
        <v/>
      </c>
      <c r="H31" s="34" t="str">
        <v/>
      </c>
      <c r="I31" s="34" t="str">
        <v/>
      </c>
      <c r="J31" s="34" t="str">
        <v/>
      </c>
      <c r="K31" s="34" t="str">
        <v/>
      </c>
      <c r="L31" s="34" t="str">
        <v/>
      </c>
      <c r="M31" s="34" t="str">
        <v/>
      </c>
      <c r="N31" s="34" t="str">
        <v/>
      </c>
      <c r="O31" s="34" t="str">
        <v/>
      </c>
      <c r="P31" s="34" t="str">
        <v>14</v>
      </c>
      <c r="Q31" s="34" t="str">
        <v/>
      </c>
      <c r="R31" s="34" t="str">
        <v/>
      </c>
      <c r="S31" s="34" t="str">
        <v>%</v>
      </c>
      <c r="T31" s="34" t="str">
        <v/>
      </c>
      <c r="U31" s="34" t="str">
        <v>SW</v>
      </c>
      <c r="V31" s="34" t="str">
        <v/>
      </c>
      <c r="W31" s="34" t="str">
        <v>-</v>
      </c>
      <c r="X31" s="34" t="str">
        <v>DCS</v>
      </c>
      <c r="Y31" s="34" t="str">
        <v>-</v>
      </c>
      <c r="Z31" s="34" t="str">
        <v>No</v>
      </c>
      <c r="AA31" s="34" t="str">
        <v>AUX</v>
      </c>
      <c r="AB31" s="34" t="str">
        <v/>
      </c>
    </row>
    <row r="32" spans="1:28" ht="72">
      <c r="A32" s="34" t="str">
        <v>CA-741752-001</v>
      </c>
      <c r="B32" s="34" t="str">
        <v>631-LIT  -3054</v>
      </c>
      <c r="C32" s="34" t="str">
        <v>631-L-3054</v>
      </c>
      <c r="D32" s="34" t="str">
        <v>FIELD</v>
      </c>
      <c r="E32" s="34" t="str">
        <v>LEVEL TRANSMITTER GUIDED WAVE RADAR</v>
      </c>
      <c r="F32" s="34" t="str">
        <v>631-D-0304A DSL FUEL FLTR LVL</v>
      </c>
      <c r="G32" s="34" t="str">
        <v>6</v>
      </c>
      <c r="H32" s="34" t="str">
        <v>33.5</v>
      </c>
      <c r="I32" s="34" t="str">
        <v>in</v>
      </c>
      <c r="J32" s="34" t="str">
        <v>0</v>
      </c>
      <c r="K32" s="34" t="str">
        <v>100</v>
      </c>
      <c r="L32" s="34" t="str">
        <v>%</v>
      </c>
      <c r="M32" s="34" t="str">
        <v/>
      </c>
      <c r="N32" s="34" t="str">
        <v/>
      </c>
      <c r="O32" s="34" t="str">
        <v/>
      </c>
      <c r="P32" s="34" t="str">
        <v/>
      </c>
      <c r="Q32" s="34" t="str">
        <v/>
      </c>
      <c r="R32" s="34" t="str">
        <v/>
      </c>
      <c r="S32" s="34" t="str">
        <v/>
      </c>
      <c r="T32" s="34" t="str">
        <v>631-D-0305</v>
      </c>
      <c r="U32" s="34" t="str">
        <v>HART AI</v>
      </c>
      <c r="V32" s="34" t="str">
        <v>631-DCS401</v>
      </c>
      <c r="W32" s="34" t="str">
        <v>4-20mA</v>
      </c>
      <c r="X32" s="34" t="str">
        <v>DCS</v>
      </c>
      <c r="Y32" s="34" t="str">
        <v>H</v>
      </c>
      <c r="Z32" s="34" t="str">
        <v>No</v>
      </c>
      <c r="AA32" s="34" t="str">
        <v>AUX</v>
      </c>
      <c r="AB32" s="34" t="str">
        <v/>
      </c>
    </row>
    <row r="33" spans="1:28" ht="72">
      <c r="A33" s="34" t="str">
        <v>CA-741752-001</v>
      </c>
      <c r="B33" s="34" t="str">
        <v>631-LIC  -3054</v>
      </c>
      <c r="C33" s="34" t="str">
        <v>631-L-3054</v>
      </c>
      <c r="D33" s="34" t="str">
        <v>DCS</v>
      </c>
      <c r="E33" s="34" t="str">
        <v>LEVEL INDICATION CONTROLLER</v>
      </c>
      <c r="F33" s="34" t="str">
        <v>631-D-0304A DSL FUEL FLTR LVL CTRL</v>
      </c>
      <c r="G33" s="34" t="str">
        <v/>
      </c>
      <c r="H33" s="34" t="str">
        <v/>
      </c>
      <c r="I33" s="34" t="str">
        <v/>
      </c>
      <c r="J33" s="34" t="str">
        <v/>
      </c>
      <c r="K33" s="34" t="str">
        <v/>
      </c>
      <c r="L33" s="34" t="str">
        <v/>
      </c>
      <c r="M33" s="34" t="str">
        <v/>
      </c>
      <c r="N33" s="34" t="str">
        <v/>
      </c>
      <c r="O33" s="34" t="str">
        <v/>
      </c>
      <c r="P33" s="34" t="str">
        <v/>
      </c>
      <c r="Q33" s="34" t="str">
        <v/>
      </c>
      <c r="R33" s="34" t="str">
        <v/>
      </c>
      <c r="S33" s="34" t="str">
        <v/>
      </c>
      <c r="T33" s="34" t="str">
        <v/>
      </c>
      <c r="U33" s="34" t="str">
        <v>SW</v>
      </c>
      <c r="V33" s="34" t="str">
        <v/>
      </c>
      <c r="W33" s="34" t="str">
        <v>-</v>
      </c>
      <c r="X33" s="34" t="str">
        <v>DCS</v>
      </c>
      <c r="Y33" s="34" t="str">
        <v>-</v>
      </c>
      <c r="Z33" s="34" t="str">
        <v>No</v>
      </c>
      <c r="AA33" s="34" t="str">
        <v>AUX</v>
      </c>
      <c r="AB33" s="34" t="str">
        <v/>
      </c>
    </row>
    <row r="34" spans="1:28" ht="72">
      <c r="A34" s="34" t="str">
        <v>CA-741752-001</v>
      </c>
      <c r="B34" s="34" t="str">
        <v>631-LAH  -3054</v>
      </c>
      <c r="C34" s="34" t="str">
        <v>631-L-3054</v>
      </c>
      <c r="D34" s="34" t="str">
        <v>DCS</v>
      </c>
      <c r="E34" s="34" t="str">
        <v>LEVEL ALARM HIGH</v>
      </c>
      <c r="F34" s="34" t="str">
        <v>631-D-0304A DSL FUEL FLTR LVL HI</v>
      </c>
      <c r="G34" s="34" t="str">
        <v/>
      </c>
      <c r="H34" s="34" t="str">
        <v/>
      </c>
      <c r="I34" s="34" t="str">
        <v/>
      </c>
      <c r="J34" s="34" t="str">
        <v/>
      </c>
      <c r="K34" s="34" t="str">
        <v/>
      </c>
      <c r="L34" s="34" t="str">
        <v/>
      </c>
      <c r="M34" s="34" t="str">
        <v>64.3</v>
      </c>
      <c r="N34" s="34" t="str">
        <v/>
      </c>
      <c r="O34" s="34" t="str">
        <v/>
      </c>
      <c r="P34" s="34" t="str">
        <v/>
      </c>
      <c r="Q34" s="34" t="str">
        <v/>
      </c>
      <c r="R34" s="34" t="str">
        <v/>
      </c>
      <c r="S34" s="34" t="str">
        <v>%</v>
      </c>
      <c r="T34" s="34" t="str">
        <v/>
      </c>
      <c r="U34" s="34" t="str">
        <v>SW</v>
      </c>
      <c r="V34" s="34" t="str">
        <v/>
      </c>
      <c r="W34" s="34" t="str">
        <v>-</v>
      </c>
      <c r="X34" s="34" t="str">
        <v>DCS</v>
      </c>
      <c r="Y34" s="34" t="str">
        <v>-</v>
      </c>
      <c r="Z34" s="34" t="str">
        <v>No</v>
      </c>
      <c r="AA34" s="34" t="str">
        <v>AUX</v>
      </c>
      <c r="AB34" s="34" t="str">
        <v/>
      </c>
    </row>
    <row r="35" spans="1:28" ht="72">
      <c r="A35" s="34" t="str">
        <v>CA-741752-001</v>
      </c>
      <c r="B35" s="34" t="str">
        <v>631-LAL  -3054</v>
      </c>
      <c r="C35" s="34" t="str">
        <v>631-L-3054</v>
      </c>
      <c r="D35" s="34" t="str">
        <v>DCS</v>
      </c>
      <c r="E35" s="34" t="str">
        <v>LEVEL ALARM LOW</v>
      </c>
      <c r="F35" s="34" t="str">
        <v>631-D-0304A DSL FUEL FLTR LVL LO</v>
      </c>
      <c r="G35" s="34" t="str">
        <v/>
      </c>
      <c r="H35" s="34" t="str">
        <v/>
      </c>
      <c r="I35" s="34" t="str">
        <v/>
      </c>
      <c r="J35" s="34" t="str">
        <v/>
      </c>
      <c r="K35" s="34" t="str">
        <v/>
      </c>
      <c r="L35" s="34" t="str">
        <v/>
      </c>
      <c r="M35" s="34" t="str">
        <v/>
      </c>
      <c r="N35" s="34" t="str">
        <v/>
      </c>
      <c r="O35" s="34" t="str">
        <v/>
      </c>
      <c r="P35" s="34" t="str">
        <v>11.6</v>
      </c>
      <c r="Q35" s="34" t="str">
        <v/>
      </c>
      <c r="R35" s="34" t="str">
        <v/>
      </c>
      <c r="S35" s="34" t="str">
        <v>%</v>
      </c>
      <c r="T35" s="34" t="str">
        <v/>
      </c>
      <c r="U35" s="34" t="str">
        <v>SW</v>
      </c>
      <c r="V35" s="34" t="str">
        <v/>
      </c>
      <c r="W35" s="34" t="str">
        <v>-</v>
      </c>
      <c r="X35" s="34" t="str">
        <v>DCS</v>
      </c>
      <c r="Y35" s="34" t="str">
        <v>-</v>
      </c>
      <c r="Z35" s="34" t="str">
        <v>No</v>
      </c>
      <c r="AA35" s="34" t="str">
        <v>AUX</v>
      </c>
      <c r="AB35" s="34" t="str">
        <v/>
      </c>
    </row>
    <row r="36" spans="1:28" ht="72">
      <c r="A36" s="34" t="str">
        <v>CA-741752-001</v>
      </c>
      <c r="B36" s="34" t="str">
        <v>631-LIT  -3055</v>
      </c>
      <c r="C36" s="34" t="str">
        <v>631-L-3055</v>
      </c>
      <c r="D36" s="34" t="str">
        <v>FIELD</v>
      </c>
      <c r="E36" s="34" t="str">
        <v>LEVEL TRANSMITTER GUIDED WAVE RADAR</v>
      </c>
      <c r="F36" s="34" t="str">
        <v>631-D-0304B DSL FUEL FLTR LVL</v>
      </c>
      <c r="G36" s="34" t="str">
        <v>6</v>
      </c>
      <c r="H36" s="34" t="str">
        <v>33.5</v>
      </c>
      <c r="I36" s="34" t="str">
        <v>in</v>
      </c>
      <c r="J36" s="34" t="str">
        <v>0</v>
      </c>
      <c r="K36" s="34" t="str">
        <v>100</v>
      </c>
      <c r="L36" s="34" t="str">
        <v>%</v>
      </c>
      <c r="M36" s="34" t="str">
        <v/>
      </c>
      <c r="N36" s="34" t="str">
        <v/>
      </c>
      <c r="O36" s="34" t="str">
        <v/>
      </c>
      <c r="P36" s="34" t="str">
        <v/>
      </c>
      <c r="Q36" s="34" t="str">
        <v/>
      </c>
      <c r="R36" s="34" t="str">
        <v/>
      </c>
      <c r="S36" s="34" t="str">
        <v/>
      </c>
      <c r="T36" s="34" t="str">
        <v>631-D-0304B</v>
      </c>
      <c r="U36" s="34" t="str">
        <v>HART AI</v>
      </c>
      <c r="V36" s="34" t="str">
        <v>631-DCS401</v>
      </c>
      <c r="W36" s="34" t="str">
        <v>4-20mA</v>
      </c>
      <c r="X36" s="34" t="str">
        <v>DCS</v>
      </c>
      <c r="Y36" s="34" t="str">
        <v>H</v>
      </c>
      <c r="Z36" s="34" t="str">
        <v>No</v>
      </c>
      <c r="AA36" s="34" t="str">
        <v>AUX</v>
      </c>
      <c r="AB36" s="34" t="str">
        <v/>
      </c>
    </row>
    <row r="37" spans="1:28" ht="72">
      <c r="A37" s="34" t="str">
        <v>CA-741752-001</v>
      </c>
      <c r="B37" s="34" t="str">
        <v>631-LIC  -3055</v>
      </c>
      <c r="C37" s="34" t="str">
        <v>631-L-3055</v>
      </c>
      <c r="D37" s="34" t="str">
        <v>DCS</v>
      </c>
      <c r="E37" s="34" t="str">
        <v>LEVEL INDICATION CONTROLLER</v>
      </c>
      <c r="F37" s="34" t="str">
        <v>631-D-0304B DSL FUEL FLTR LVL CTRL</v>
      </c>
      <c r="G37" s="34" t="str">
        <v/>
      </c>
      <c r="H37" s="34" t="str">
        <v/>
      </c>
      <c r="I37" s="34" t="str">
        <v/>
      </c>
      <c r="J37" s="34" t="str">
        <v/>
      </c>
      <c r="K37" s="34" t="str">
        <v/>
      </c>
      <c r="L37" s="34" t="str">
        <v/>
      </c>
      <c r="M37" s="34" t="str">
        <v/>
      </c>
      <c r="N37" s="34" t="str">
        <v/>
      </c>
      <c r="O37" s="34" t="str">
        <v/>
      </c>
      <c r="P37" s="34" t="str">
        <v/>
      </c>
      <c r="Q37" s="34" t="str">
        <v/>
      </c>
      <c r="R37" s="34" t="str">
        <v/>
      </c>
      <c r="S37" s="34" t="str">
        <v/>
      </c>
      <c r="T37" s="34" t="str">
        <v/>
      </c>
      <c r="U37" s="34" t="str">
        <v>SW</v>
      </c>
      <c r="V37" s="34" t="str">
        <v/>
      </c>
      <c r="W37" s="34" t="str">
        <v>-</v>
      </c>
      <c r="X37" s="34" t="str">
        <v>DCS</v>
      </c>
      <c r="Y37" s="34" t="str">
        <v>-</v>
      </c>
      <c r="Z37" s="34" t="str">
        <v>No</v>
      </c>
      <c r="AA37" s="34" t="str">
        <v>AUX</v>
      </c>
      <c r="AB37" s="34" t="str">
        <v/>
      </c>
    </row>
    <row r="38" spans="1:28" ht="72">
      <c r="A38" s="34" t="str">
        <v>CA-741752-001</v>
      </c>
      <c r="B38" s="34" t="str">
        <v>631-LAH  -3055</v>
      </c>
      <c r="C38" s="34" t="str">
        <v>631-L-3055</v>
      </c>
      <c r="D38" s="34" t="str">
        <v>DCS</v>
      </c>
      <c r="E38" s="34" t="str">
        <v>LEVEL ALARM HIGH</v>
      </c>
      <c r="F38" s="34" t="str">
        <v>631-D-0304B DSL FUEL FLTR LVL HI</v>
      </c>
      <c r="G38" s="34" t="str">
        <v/>
      </c>
      <c r="H38" s="34" t="str">
        <v/>
      </c>
      <c r="I38" s="34" t="str">
        <v/>
      </c>
      <c r="J38" s="34" t="str">
        <v/>
      </c>
      <c r="K38" s="34" t="str">
        <v/>
      </c>
      <c r="L38" s="34" t="str">
        <v/>
      </c>
      <c r="M38" s="34" t="str">
        <v>64.3</v>
      </c>
      <c r="N38" s="34" t="str">
        <v/>
      </c>
      <c r="O38" s="34" t="str">
        <v/>
      </c>
      <c r="P38" s="34" t="str">
        <v/>
      </c>
      <c r="Q38" s="34" t="str">
        <v/>
      </c>
      <c r="R38" s="34" t="str">
        <v/>
      </c>
      <c r="S38" s="34" t="str">
        <v>%</v>
      </c>
      <c r="T38" s="34" t="str">
        <v/>
      </c>
      <c r="U38" s="34" t="str">
        <v>SW</v>
      </c>
      <c r="V38" s="34" t="str">
        <v/>
      </c>
      <c r="W38" s="34" t="str">
        <v>-</v>
      </c>
      <c r="X38" s="34" t="str">
        <v>DCS</v>
      </c>
      <c r="Y38" s="34" t="str">
        <v>-</v>
      </c>
      <c r="Z38" s="34" t="str">
        <v>No</v>
      </c>
      <c r="AA38" s="34" t="str">
        <v>AUX</v>
      </c>
      <c r="AB38" s="34" t="str">
        <v/>
      </c>
    </row>
    <row r="39" spans="1:28" ht="72">
      <c r="A39" s="34" t="str">
        <v>CA-741752-001</v>
      </c>
      <c r="B39" s="34" t="str">
        <v>631-LAL  -3055</v>
      </c>
      <c r="C39" s="34" t="str">
        <v>631-L-3055</v>
      </c>
      <c r="D39" s="34" t="str">
        <v>DCS</v>
      </c>
      <c r="E39" s="34" t="str">
        <v>LEVEL ALARM LOW</v>
      </c>
      <c r="F39" s="34" t="str">
        <v>631-D-0304B DSL FUEL FLTR LVL LO</v>
      </c>
      <c r="G39" s="34" t="str">
        <v/>
      </c>
      <c r="H39" s="34" t="str">
        <v/>
      </c>
      <c r="I39" s="34" t="str">
        <v/>
      </c>
      <c r="J39" s="34" t="str">
        <v/>
      </c>
      <c r="K39" s="34" t="str">
        <v/>
      </c>
      <c r="L39" s="34" t="str">
        <v/>
      </c>
      <c r="M39" s="34" t="str">
        <v/>
      </c>
      <c r="N39" s="34" t="str">
        <v/>
      </c>
      <c r="O39" s="34" t="str">
        <v/>
      </c>
      <c r="P39" s="34" t="str">
        <v>11.6</v>
      </c>
      <c r="Q39" s="34" t="str">
        <v/>
      </c>
      <c r="R39" s="34" t="str">
        <v/>
      </c>
      <c r="S39" s="34" t="str">
        <v>%</v>
      </c>
      <c r="T39" s="34" t="str">
        <v/>
      </c>
      <c r="U39" s="34" t="str">
        <v>SW</v>
      </c>
      <c r="V39" s="34" t="str">
        <v/>
      </c>
      <c r="W39" s="34" t="str">
        <v>-</v>
      </c>
      <c r="X39" s="34" t="str">
        <v>DCS</v>
      </c>
      <c r="Y39" s="34" t="str">
        <v>-</v>
      </c>
      <c r="Z39" s="34" t="str">
        <v>No</v>
      </c>
      <c r="AA39" s="34" t="str">
        <v>AUX</v>
      </c>
      <c r="AB39" s="34" t="str">
        <v/>
      </c>
    </row>
    <row r="40" spans="1:28" ht="72">
      <c r="A40" s="34" t="str">
        <v>CA-741752-001</v>
      </c>
      <c r="B40" s="34" t="str">
        <v>631-HS   -3060D</v>
      </c>
      <c r="C40" s="34" t="str">
        <v>631-M-3060</v>
      </c>
      <c r="D40" s="34" t="str">
        <v>MCC</v>
      </c>
      <c r="E40" s="34" t="str">
        <v>DCS HAND SWITCH START</v>
      </c>
      <c r="F40" s="34" t="str">
        <v>631-G-0306A DSL FUEL PMP START</v>
      </c>
      <c r="G40" s="34" t="str">
        <v/>
      </c>
      <c r="H40" s="34" t="str">
        <v/>
      </c>
      <c r="I40" s="34" t="str">
        <v/>
      </c>
      <c r="J40" s="34" t="str">
        <v/>
      </c>
      <c r="K40" s="34" t="str">
        <v/>
      </c>
      <c r="L40" s="34" t="str">
        <v/>
      </c>
      <c r="M40" s="34" t="str">
        <v/>
      </c>
      <c r="N40" s="34" t="str">
        <v/>
      </c>
      <c r="O40" s="34" t="str">
        <v/>
      </c>
      <c r="P40" s="34" t="str">
        <v/>
      </c>
      <c r="Q40" s="34" t="str">
        <v/>
      </c>
      <c r="R40" s="34" t="str">
        <v/>
      </c>
      <c r="S40" s="34" t="str">
        <v/>
      </c>
      <c r="T40" s="34" t="str">
        <v/>
      </c>
      <c r="U40" s="34" t="str">
        <v>DO</v>
      </c>
      <c r="V40" s="34" t="str">
        <v>631-DCS401</v>
      </c>
      <c r="W40" s="34" t="str">
        <v>24VDC</v>
      </c>
      <c r="X40" s="34" t="str">
        <v>DCS</v>
      </c>
      <c r="Y40" s="34" t="str">
        <v>C</v>
      </c>
      <c r="Z40" s="34" t="str">
        <v>No</v>
      </c>
      <c r="AA40" s="34" t="str">
        <v>AUX</v>
      </c>
      <c r="AB40" s="34" t="str">
        <v/>
      </c>
    </row>
    <row r="41" spans="1:28" ht="60">
      <c r="A41" s="34" t="str">
        <v>CA-741752-001</v>
      </c>
      <c r="B41" s="34" t="str">
        <v>631-HS   -3060E</v>
      </c>
      <c r="C41" s="34" t="str">
        <v>631-M-3060</v>
      </c>
      <c r="D41" s="34" t="str">
        <v>MCC</v>
      </c>
      <c r="E41" s="34" t="str">
        <v>DCS HAND SWITCH STOP</v>
      </c>
      <c r="F41" s="34" t="str">
        <v>631-G-0306A DSL FUEL PMP STP</v>
      </c>
      <c r="G41" s="34" t="str">
        <v/>
      </c>
      <c r="H41" s="34" t="str">
        <v/>
      </c>
      <c r="I41" s="34" t="str">
        <v/>
      </c>
      <c r="J41" s="34" t="str">
        <v/>
      </c>
      <c r="K41" s="34" t="str">
        <v/>
      </c>
      <c r="L41" s="34" t="str">
        <v/>
      </c>
      <c r="M41" s="34" t="str">
        <v/>
      </c>
      <c r="N41" s="34" t="str">
        <v/>
      </c>
      <c r="O41" s="34" t="str">
        <v/>
      </c>
      <c r="P41" s="34" t="str">
        <v/>
      </c>
      <c r="Q41" s="34" t="str">
        <v/>
      </c>
      <c r="R41" s="34" t="str">
        <v/>
      </c>
      <c r="S41" s="34" t="str">
        <v/>
      </c>
      <c r="T41" s="34" t="str">
        <v/>
      </c>
      <c r="U41" s="34" t="str">
        <v>DO</v>
      </c>
      <c r="V41" s="34" t="str">
        <v>631-DCS401</v>
      </c>
      <c r="W41" s="34" t="str">
        <v>24VDC</v>
      </c>
      <c r="X41" s="34" t="str">
        <v>DCS</v>
      </c>
      <c r="Y41" s="34" t="str">
        <v>C</v>
      </c>
      <c r="Z41" s="34" t="str">
        <v>No</v>
      </c>
      <c r="AA41" s="34" t="str">
        <v>AUX</v>
      </c>
      <c r="AB41" s="34" t="str">
        <v/>
      </c>
    </row>
    <row r="42" spans="1:28" ht="60">
      <c r="A42" s="34" t="str">
        <v>CA-741752-001</v>
      </c>
      <c r="B42" s="34" t="str">
        <v>631-XA   -3060A</v>
      </c>
      <c r="C42" s="34" t="str">
        <v>631-M-3060</v>
      </c>
      <c r="D42" s="34" t="str">
        <v>MCC</v>
      </c>
      <c r="E42" s="34" t="str">
        <v>FAULT ALARM/TRIP INDICATION</v>
      </c>
      <c r="F42" s="34" t="str">
        <v>631-G-0306A DSL FUEL PMP FLT</v>
      </c>
      <c r="G42" s="34" t="str">
        <v/>
      </c>
      <c r="H42" s="34" t="str">
        <v/>
      </c>
      <c r="I42" s="34" t="str">
        <v/>
      </c>
      <c r="J42" s="34" t="str">
        <v/>
      </c>
      <c r="K42" s="34" t="str">
        <v/>
      </c>
      <c r="L42" s="34" t="str">
        <v/>
      </c>
      <c r="M42" s="34" t="str">
        <v/>
      </c>
      <c r="N42" s="34" t="str">
        <v/>
      </c>
      <c r="O42" s="34" t="str">
        <v/>
      </c>
      <c r="P42" s="34" t="str">
        <v/>
      </c>
      <c r="Q42" s="34" t="str">
        <v/>
      </c>
      <c r="R42" s="34" t="str">
        <v/>
      </c>
      <c r="S42" s="34" t="str">
        <v/>
      </c>
      <c r="T42" s="34" t="str">
        <v/>
      </c>
      <c r="U42" s="34" t="str">
        <v>SID</v>
      </c>
      <c r="V42" s="34" t="str">
        <v/>
      </c>
      <c r="W42" s="34" t="str">
        <v>SERIAL</v>
      </c>
      <c r="X42" s="34" t="str">
        <v>DCS</v>
      </c>
      <c r="Y42" s="34" t="str">
        <v>M</v>
      </c>
      <c r="Z42" s="34" t="str">
        <v>No</v>
      </c>
      <c r="AA42" s="34" t="str">
        <v>AUX</v>
      </c>
      <c r="AB42" s="34" t="str">
        <v/>
      </c>
    </row>
    <row r="43" spans="1:28" ht="60">
      <c r="A43" s="34" t="str">
        <v>CA-741752-001</v>
      </c>
      <c r="B43" s="34" t="str">
        <v>631-XA   -3060B</v>
      </c>
      <c r="C43" s="34" t="str">
        <v>631-M-3060</v>
      </c>
      <c r="D43" s="34" t="str">
        <v>MCC</v>
      </c>
      <c r="E43" s="34" t="str">
        <v>FAULT ALARM/TRIP INDICATION</v>
      </c>
      <c r="F43" s="34" t="str">
        <v>631-G-0306A DSL FUEL PMP TRP</v>
      </c>
      <c r="G43" s="34" t="str">
        <v/>
      </c>
      <c r="H43" s="34" t="str">
        <v/>
      </c>
      <c r="I43" s="34" t="str">
        <v/>
      </c>
      <c r="J43" s="34" t="str">
        <v/>
      </c>
      <c r="K43" s="34" t="str">
        <v/>
      </c>
      <c r="L43" s="34" t="str">
        <v/>
      </c>
      <c r="M43" s="34" t="str">
        <v/>
      </c>
      <c r="N43" s="34" t="str">
        <v/>
      </c>
      <c r="O43" s="34" t="str">
        <v/>
      </c>
      <c r="P43" s="34" t="str">
        <v/>
      </c>
      <c r="Q43" s="34" t="str">
        <v/>
      </c>
      <c r="R43" s="34" t="str">
        <v/>
      </c>
      <c r="S43" s="34" t="str">
        <v/>
      </c>
      <c r="T43" s="34" t="str">
        <v/>
      </c>
      <c r="U43" s="34" t="str">
        <v>SID</v>
      </c>
      <c r="V43" s="34" t="str">
        <v/>
      </c>
      <c r="W43" s="34" t="str">
        <v>SERIAL</v>
      </c>
      <c r="X43" s="34" t="str">
        <v>DCS</v>
      </c>
      <c r="Y43" s="34" t="str">
        <v>M</v>
      </c>
      <c r="Z43" s="34" t="str">
        <v>No</v>
      </c>
      <c r="AA43" s="34" t="str">
        <v>AUX</v>
      </c>
      <c r="AB43" s="34" t="str">
        <v/>
      </c>
    </row>
    <row r="44" spans="1:28" ht="96">
      <c r="A44" s="34" t="str">
        <v>CA-741752-001</v>
      </c>
      <c r="B44" s="34" t="str">
        <v>631-XI   -3060</v>
      </c>
      <c r="C44" s="34" t="str">
        <v>631-M-3060</v>
      </c>
      <c r="D44" s="34" t="str">
        <v>MCC</v>
      </c>
      <c r="E44" s="34" t="str">
        <v>DCS INDICATION AUTO POSITION</v>
      </c>
      <c r="F44" s="34" t="str">
        <v>631-G-0306A DSL FUEL PMP AUTO POSITION</v>
      </c>
      <c r="G44" s="34" t="str">
        <v/>
      </c>
      <c r="H44" s="34" t="str">
        <v/>
      </c>
      <c r="I44" s="34" t="str">
        <v/>
      </c>
      <c r="J44" s="34" t="str">
        <v/>
      </c>
      <c r="K44" s="34" t="str">
        <v/>
      </c>
      <c r="L44" s="34" t="str">
        <v/>
      </c>
      <c r="M44" s="34" t="str">
        <v/>
      </c>
      <c r="N44" s="34" t="str">
        <v/>
      </c>
      <c r="O44" s="34" t="str">
        <v/>
      </c>
      <c r="P44" s="34" t="str">
        <v/>
      </c>
      <c r="Q44" s="34" t="str">
        <v/>
      </c>
      <c r="R44" s="34" t="str">
        <v/>
      </c>
      <c r="S44" s="34" t="str">
        <v/>
      </c>
      <c r="T44" s="34" t="str">
        <v/>
      </c>
      <c r="U44" s="34" t="str">
        <v>SID</v>
      </c>
      <c r="V44" s="34" t="str">
        <v/>
      </c>
      <c r="W44" s="34" t="str">
        <v>SERIAL</v>
      </c>
      <c r="X44" s="34" t="str">
        <v>DCS</v>
      </c>
      <c r="Y44" s="34" t="str">
        <v>M</v>
      </c>
      <c r="Z44" s="34" t="str">
        <v>No</v>
      </c>
      <c r="AA44" s="34" t="str">
        <v>AUX</v>
      </c>
      <c r="AB44" s="34" t="str">
        <v/>
      </c>
    </row>
    <row r="45" spans="1:28" ht="72">
      <c r="A45" s="34" t="str">
        <v>CA-741752-001</v>
      </c>
      <c r="B45" s="34" t="str">
        <v>631-HS   -3061D</v>
      </c>
      <c r="C45" s="34" t="str">
        <v>631-M-3061</v>
      </c>
      <c r="D45" s="34" t="str">
        <v>MCC</v>
      </c>
      <c r="E45" s="34" t="str">
        <v>DCS HAND SWITCH START</v>
      </c>
      <c r="F45" s="34" t="str">
        <v>631-G-0306B DSL FUEL PMP START</v>
      </c>
      <c r="G45" s="34" t="str">
        <v/>
      </c>
      <c r="H45" s="34" t="str">
        <v/>
      </c>
      <c r="I45" s="34" t="str">
        <v/>
      </c>
      <c r="J45" s="34" t="str">
        <v/>
      </c>
      <c r="K45" s="34" t="str">
        <v/>
      </c>
      <c r="L45" s="34" t="str">
        <v/>
      </c>
      <c r="M45" s="34" t="str">
        <v/>
      </c>
      <c r="N45" s="34" t="str">
        <v/>
      </c>
      <c r="O45" s="34" t="str">
        <v/>
      </c>
      <c r="P45" s="34" t="str">
        <v/>
      </c>
      <c r="Q45" s="34" t="str">
        <v/>
      </c>
      <c r="R45" s="34" t="str">
        <v/>
      </c>
      <c r="S45" s="34" t="str">
        <v/>
      </c>
      <c r="T45" s="34" t="str">
        <v/>
      </c>
      <c r="U45" s="34" t="str">
        <v>DO</v>
      </c>
      <c r="V45" s="34" t="str">
        <v>631-DCS401</v>
      </c>
      <c r="W45" s="34" t="str">
        <v>24VDC</v>
      </c>
      <c r="X45" s="34" t="str">
        <v>DCS</v>
      </c>
      <c r="Y45" s="34" t="str">
        <v>C</v>
      </c>
      <c r="Z45" s="34" t="str">
        <v>No</v>
      </c>
      <c r="AA45" s="34" t="str">
        <v>AUX</v>
      </c>
      <c r="AB45" s="34" t="str">
        <v/>
      </c>
    </row>
    <row r="46" spans="1:28" ht="60">
      <c r="A46" s="34" t="str">
        <v>CA-741752-001</v>
      </c>
      <c r="B46" s="34" t="str">
        <v>631-HS   -3061E</v>
      </c>
      <c r="C46" s="34" t="str">
        <v>631-M-3061</v>
      </c>
      <c r="D46" s="34" t="str">
        <v>MCC</v>
      </c>
      <c r="E46" s="34" t="str">
        <v>DCS HAND SWITCH STOP</v>
      </c>
      <c r="F46" s="34" t="str">
        <v>631-G-0306B DSL FUEL PMP STP</v>
      </c>
      <c r="G46" s="34" t="str">
        <v/>
      </c>
      <c r="H46" s="34" t="str">
        <v/>
      </c>
      <c r="I46" s="34" t="str">
        <v/>
      </c>
      <c r="J46" s="34" t="str">
        <v/>
      </c>
      <c r="K46" s="34" t="str">
        <v/>
      </c>
      <c r="L46" s="34" t="str">
        <v/>
      </c>
      <c r="M46" s="34" t="str">
        <v/>
      </c>
      <c r="N46" s="34" t="str">
        <v/>
      </c>
      <c r="O46" s="34" t="str">
        <v/>
      </c>
      <c r="P46" s="34" t="str">
        <v/>
      </c>
      <c r="Q46" s="34" t="str">
        <v/>
      </c>
      <c r="R46" s="34" t="str">
        <v/>
      </c>
      <c r="S46" s="34" t="str">
        <v/>
      </c>
      <c r="T46" s="34" t="str">
        <v/>
      </c>
      <c r="U46" s="34" t="str">
        <v>DO</v>
      </c>
      <c r="V46" s="34" t="str">
        <v>631-DCS401</v>
      </c>
      <c r="W46" s="34" t="str">
        <v>24VDC</v>
      </c>
      <c r="X46" s="34" t="str">
        <v>DCS</v>
      </c>
      <c r="Y46" s="34" t="str">
        <v>C</v>
      </c>
      <c r="Z46" s="34" t="str">
        <v>No</v>
      </c>
      <c r="AA46" s="34" t="str">
        <v>AUX</v>
      </c>
      <c r="AB46" s="34" t="str">
        <v/>
      </c>
    </row>
    <row r="47" spans="1:28" ht="60">
      <c r="A47" s="34" t="str">
        <v>CA-741752-001</v>
      </c>
      <c r="B47" s="34" t="str">
        <v>631-XA   -3061A</v>
      </c>
      <c r="C47" s="34" t="str">
        <v>631-M-3061</v>
      </c>
      <c r="D47" s="34" t="str">
        <v>MCC</v>
      </c>
      <c r="E47" s="34" t="str">
        <v>FAULT ALARM/TRIP INDICATION</v>
      </c>
      <c r="F47" s="34" t="str">
        <v>631-G-0306B DSL FUEL PMP FLT</v>
      </c>
      <c r="G47" s="34" t="str">
        <v/>
      </c>
      <c r="H47" s="34" t="str">
        <v/>
      </c>
      <c r="I47" s="34" t="str">
        <v/>
      </c>
      <c r="J47" s="34" t="str">
        <v/>
      </c>
      <c r="K47" s="34" t="str">
        <v/>
      </c>
      <c r="L47" s="34" t="str">
        <v/>
      </c>
      <c r="M47" s="34" t="str">
        <v/>
      </c>
      <c r="N47" s="34" t="str">
        <v/>
      </c>
      <c r="O47" s="34" t="str">
        <v/>
      </c>
      <c r="P47" s="34" t="str">
        <v/>
      </c>
      <c r="Q47" s="34" t="str">
        <v/>
      </c>
      <c r="R47" s="34" t="str">
        <v/>
      </c>
      <c r="S47" s="34" t="str">
        <v/>
      </c>
      <c r="T47" s="34" t="str">
        <v/>
      </c>
      <c r="U47" s="34" t="str">
        <v>SID</v>
      </c>
      <c r="V47" s="34" t="str">
        <v/>
      </c>
      <c r="W47" s="34" t="str">
        <v>SERIAL</v>
      </c>
      <c r="X47" s="34" t="str">
        <v>DCS</v>
      </c>
      <c r="Y47" s="34" t="str">
        <v>M</v>
      </c>
      <c r="Z47" s="34" t="str">
        <v>No</v>
      </c>
      <c r="AA47" s="34" t="str">
        <v>AUX</v>
      </c>
      <c r="AB47" s="34" t="str">
        <v/>
      </c>
    </row>
    <row r="48" spans="1:28" ht="60">
      <c r="A48" s="34" t="str">
        <v>CA-741752-001</v>
      </c>
      <c r="B48" s="34" t="str">
        <v>631-XA   -3061B</v>
      </c>
      <c r="C48" s="34" t="str">
        <v>631-M-3061</v>
      </c>
      <c r="D48" s="34" t="str">
        <v>MCC</v>
      </c>
      <c r="E48" s="34" t="str">
        <v>FAULT ALARM/TRIP INDICATION</v>
      </c>
      <c r="F48" s="34" t="str">
        <v>631-G-0306B DSL FUEL PMP TRP</v>
      </c>
      <c r="G48" s="34" t="str">
        <v/>
      </c>
      <c r="H48" s="34" t="str">
        <v/>
      </c>
      <c r="I48" s="34" t="str">
        <v/>
      </c>
      <c r="J48" s="34" t="str">
        <v/>
      </c>
      <c r="K48" s="34" t="str">
        <v/>
      </c>
      <c r="L48" s="34" t="str">
        <v/>
      </c>
      <c r="M48" s="34" t="str">
        <v/>
      </c>
      <c r="N48" s="34" t="str">
        <v/>
      </c>
      <c r="O48" s="34" t="str">
        <v/>
      </c>
      <c r="P48" s="34" t="str">
        <v/>
      </c>
      <c r="Q48" s="34" t="str">
        <v/>
      </c>
      <c r="R48" s="34" t="str">
        <v/>
      </c>
      <c r="S48" s="34" t="str">
        <v/>
      </c>
      <c r="T48" s="34" t="str">
        <v/>
      </c>
      <c r="U48" s="34" t="str">
        <v>SID</v>
      </c>
      <c r="V48" s="34" t="str">
        <v/>
      </c>
      <c r="W48" s="34" t="str">
        <v>SERIAL</v>
      </c>
      <c r="X48" s="34" t="str">
        <v>DCS</v>
      </c>
      <c r="Y48" s="34" t="str">
        <v>M</v>
      </c>
      <c r="Z48" s="34" t="str">
        <v>No</v>
      </c>
      <c r="AA48" s="34" t="str">
        <v>AUX</v>
      </c>
      <c r="AB48" s="34" t="str">
        <v/>
      </c>
    </row>
    <row r="49" spans="1:28" ht="96">
      <c r="A49" s="34" t="str">
        <v>CA-741752-001</v>
      </c>
      <c r="B49" s="34" t="str">
        <v>631-XI   -3061</v>
      </c>
      <c r="C49" s="34" t="str">
        <v>631-M-3061</v>
      </c>
      <c r="D49" s="34" t="str">
        <v>MCC</v>
      </c>
      <c r="E49" s="34" t="str">
        <v>DCS INDICATION AUTO POSITION</v>
      </c>
      <c r="F49" s="34" t="str">
        <v>631-G-0306B DSL FUEL PMP AUTO POSITION</v>
      </c>
      <c r="G49" s="34" t="str">
        <v/>
      </c>
      <c r="H49" s="34" t="str">
        <v/>
      </c>
      <c r="I49" s="34" t="str">
        <v/>
      </c>
      <c r="J49" s="34" t="str">
        <v/>
      </c>
      <c r="K49" s="34" t="str">
        <v/>
      </c>
      <c r="L49" s="34" t="str">
        <v/>
      </c>
      <c r="M49" s="34" t="str">
        <v/>
      </c>
      <c r="N49" s="34" t="str">
        <v/>
      </c>
      <c r="O49" s="34" t="str">
        <v/>
      </c>
      <c r="P49" s="34" t="str">
        <v/>
      </c>
      <c r="Q49" s="34" t="str">
        <v/>
      </c>
      <c r="R49" s="34" t="str">
        <v/>
      </c>
      <c r="S49" s="34" t="str">
        <v/>
      </c>
      <c r="T49" s="34" t="str">
        <v/>
      </c>
      <c r="U49" s="34" t="str">
        <v>SID</v>
      </c>
      <c r="V49" s="34" t="str">
        <v/>
      </c>
      <c r="W49" s="34" t="str">
        <v>SERIAL</v>
      </c>
      <c r="X49" s="34" t="str">
        <v>DCS</v>
      </c>
      <c r="Y49" s="34" t="str">
        <v>M</v>
      </c>
      <c r="Z49" s="34" t="str">
        <v>No</v>
      </c>
      <c r="AA49" s="34" t="str">
        <v>AUX</v>
      </c>
      <c r="AB49" s="34" t="str">
        <v/>
      </c>
    </row>
    <row r="50" spans="1:28" ht="72">
      <c r="A50" s="34" t="str">
        <v>CA-741752-001</v>
      </c>
      <c r="B50" s="34" t="str">
        <v>631-PIT  -3051</v>
      </c>
      <c r="C50" s="34" t="str">
        <v>631-P-3051</v>
      </c>
      <c r="D50" s="34" t="str">
        <v>FIELD</v>
      </c>
      <c r="E50" s="34" t="str">
        <v>PRESSURE INDICATING TRANSMITTER</v>
      </c>
      <c r="F50" s="34" t="str">
        <v>631-D-0305 DSL FUEL TNK PR</v>
      </c>
      <c r="G50" s="34" t="str">
        <v>0</v>
      </c>
      <c r="H50" s="34" t="str">
        <v>1</v>
      </c>
      <c r="I50" s="34" t="str">
        <v>psiG</v>
      </c>
      <c r="J50" s="34" t="str">
        <v>0</v>
      </c>
      <c r="K50" s="34" t="str">
        <v>1</v>
      </c>
      <c r="L50" s="34" t="str">
        <v>psiG</v>
      </c>
      <c r="M50" s="34" t="str">
        <v/>
      </c>
      <c r="N50" s="34" t="str">
        <v/>
      </c>
      <c r="O50" s="34" t="str">
        <v/>
      </c>
      <c r="P50" s="34" t="str">
        <v/>
      </c>
      <c r="Q50" s="34" t="str">
        <v/>
      </c>
      <c r="R50" s="34" t="str">
        <v/>
      </c>
      <c r="S50" s="34" t="str">
        <v/>
      </c>
      <c r="T50" s="34" t="str">
        <v>631-D-0305</v>
      </c>
      <c r="U50" s="34" t="str">
        <v>HART AI</v>
      </c>
      <c r="V50" s="34" t="str">
        <v>631-DCS401</v>
      </c>
      <c r="W50" s="34" t="str">
        <v>4-20mA</v>
      </c>
      <c r="X50" s="34" t="str">
        <v>DCS</v>
      </c>
      <c r="Y50" s="34" t="str">
        <v>H</v>
      </c>
      <c r="Z50" s="34" t="str">
        <v>No</v>
      </c>
      <c r="AA50" s="34" t="str">
        <v>AUX</v>
      </c>
      <c r="AB50" s="34" t="str">
        <v/>
      </c>
    </row>
    <row r="51" spans="1:28" ht="60">
      <c r="A51" s="34" t="str">
        <v>CA-741752-001</v>
      </c>
      <c r="B51" s="34" t="str">
        <v>631-PI   -3051</v>
      </c>
      <c r="C51" s="34" t="str">
        <v>631-P-3051</v>
      </c>
      <c r="D51" s="34" t="str">
        <v>DCS</v>
      </c>
      <c r="E51" s="34" t="str">
        <v>DCS PRESSURE INDICATION</v>
      </c>
      <c r="F51" s="34" t="str">
        <v>631-D-0305 DSL FUEL TNK PR</v>
      </c>
      <c r="G51" s="34" t="str">
        <v/>
      </c>
      <c r="H51" s="34" t="str">
        <v/>
      </c>
      <c r="I51" s="34" t="str">
        <v/>
      </c>
      <c r="J51" s="34" t="str">
        <v/>
      </c>
      <c r="K51" s="34" t="str">
        <v/>
      </c>
      <c r="L51" s="34" t="str">
        <v/>
      </c>
      <c r="M51" s="34" t="str">
        <v/>
      </c>
      <c r="N51" s="34" t="str">
        <v/>
      </c>
      <c r="O51" s="34" t="str">
        <v/>
      </c>
      <c r="P51" s="34" t="str">
        <v/>
      </c>
      <c r="Q51" s="34" t="str">
        <v/>
      </c>
      <c r="R51" s="34" t="str">
        <v/>
      </c>
      <c r="S51" s="34" t="str">
        <v/>
      </c>
      <c r="T51" s="34" t="str">
        <v/>
      </c>
      <c r="U51" s="34" t="str">
        <v>SW</v>
      </c>
      <c r="V51" s="34" t="str">
        <v/>
      </c>
      <c r="W51" s="34" t="str">
        <v>-</v>
      </c>
      <c r="X51" s="34" t="str">
        <v>DCS</v>
      </c>
      <c r="Y51" s="34" t="str">
        <v>-</v>
      </c>
      <c r="Z51" s="34" t="str">
        <v>No</v>
      </c>
      <c r="AA51" s="34" t="str">
        <v>AUX</v>
      </c>
      <c r="AB51" s="34" t="str">
        <v/>
      </c>
    </row>
    <row r="52" spans="1:28" ht="60">
      <c r="A52" s="34" t="str">
        <v>CA-741752-001</v>
      </c>
      <c r="B52" s="34" t="str">
        <v>631-PDIT -3053</v>
      </c>
      <c r="C52" s="34" t="str">
        <v>631-P-3053</v>
      </c>
      <c r="D52" s="34" t="str">
        <v>FIELD</v>
      </c>
      <c r="E52" s="34" t="str">
        <v>D/P TRANSMITTER</v>
      </c>
      <c r="F52" s="34" t="str">
        <v>631-D-0304A DSL FUEL FLTR DP</v>
      </c>
      <c r="G52" s="34" t="str">
        <v>0</v>
      </c>
      <c r="H52" s="34" t="str">
        <v>80</v>
      </c>
      <c r="I52" s="34" t="str">
        <v>psi</v>
      </c>
      <c r="J52" s="34" t="str">
        <v>0</v>
      </c>
      <c r="K52" s="34" t="str">
        <v>80</v>
      </c>
      <c r="L52" s="34" t="str">
        <v>psi</v>
      </c>
      <c r="M52" s="34" t="str">
        <v/>
      </c>
      <c r="N52" s="34" t="str">
        <v/>
      </c>
      <c r="O52" s="34" t="str">
        <v/>
      </c>
      <c r="P52" s="34" t="str">
        <v/>
      </c>
      <c r="Q52" s="34" t="str">
        <v/>
      </c>
      <c r="R52" s="34" t="str">
        <v/>
      </c>
      <c r="S52" s="34" t="str">
        <v/>
      </c>
      <c r="T52" s="34" t="str">
        <v>631-D-0304A</v>
      </c>
      <c r="U52" s="34" t="str">
        <v>HART AI</v>
      </c>
      <c r="V52" s="34" t="str">
        <v>631-DCS401</v>
      </c>
      <c r="W52" s="34" t="str">
        <v>4-20mA</v>
      </c>
      <c r="X52" s="34" t="str">
        <v>DCS</v>
      </c>
      <c r="Y52" s="34" t="str">
        <v>H</v>
      </c>
      <c r="Z52" s="34" t="str">
        <v>No</v>
      </c>
      <c r="AA52" s="34" t="str">
        <v>AUX</v>
      </c>
      <c r="AB52" s="34" t="str">
        <v/>
      </c>
    </row>
    <row r="53" spans="1:28" ht="60">
      <c r="A53" s="34" t="str">
        <v>CA-741752-001</v>
      </c>
      <c r="B53" s="34" t="str">
        <v>631-PDI  -3053</v>
      </c>
      <c r="C53" s="34" t="str">
        <v>631-P-3053</v>
      </c>
      <c r="D53" s="34" t="str">
        <v>DCS</v>
      </c>
      <c r="E53" s="34" t="str">
        <v>DIFF PRESSURE INDICATION</v>
      </c>
      <c r="F53" s="34" t="str">
        <v>631-D-0304A DSL FUEL FLTR DP</v>
      </c>
      <c r="G53" s="34" t="str">
        <v/>
      </c>
      <c r="H53" s="34" t="str">
        <v/>
      </c>
      <c r="I53" s="34" t="str">
        <v/>
      </c>
      <c r="J53" s="34" t="str">
        <v/>
      </c>
      <c r="K53" s="34" t="str">
        <v/>
      </c>
      <c r="L53" s="34" t="str">
        <v/>
      </c>
      <c r="M53" s="34" t="str">
        <v/>
      </c>
      <c r="N53" s="34" t="str">
        <v/>
      </c>
      <c r="O53" s="34" t="str">
        <v/>
      </c>
      <c r="P53" s="34" t="str">
        <v/>
      </c>
      <c r="Q53" s="34" t="str">
        <v/>
      </c>
      <c r="R53" s="34" t="str">
        <v/>
      </c>
      <c r="S53" s="34" t="str">
        <v/>
      </c>
      <c r="T53" s="34" t="str">
        <v/>
      </c>
      <c r="U53" s="34" t="str">
        <v>SW</v>
      </c>
      <c r="V53" s="34" t="str">
        <v/>
      </c>
      <c r="W53" s="34" t="str">
        <v>-</v>
      </c>
      <c r="X53" s="34" t="str">
        <v>DCS</v>
      </c>
      <c r="Y53" s="34" t="str">
        <v>-</v>
      </c>
      <c r="Z53" s="34" t="str">
        <v>No</v>
      </c>
      <c r="AA53" s="34" t="str">
        <v>AUX</v>
      </c>
      <c r="AB53" s="34" t="str">
        <v/>
      </c>
    </row>
    <row r="54" spans="1:28" ht="72">
      <c r="A54" s="34" t="str">
        <v>CA-741752-001</v>
      </c>
      <c r="B54" s="34" t="str">
        <v>631-PDAH -3053</v>
      </c>
      <c r="C54" s="34" t="str">
        <v>631-P-3053</v>
      </c>
      <c r="D54" s="34" t="str">
        <v>DCS</v>
      </c>
      <c r="E54" s="34" t="str">
        <v>DIFF PRESSURE ALARM HIGH</v>
      </c>
      <c r="F54" s="34" t="str">
        <v>631-D-0304A DSL FUEL FLTR DP HI</v>
      </c>
      <c r="G54" s="34" t="str">
        <v/>
      </c>
      <c r="H54" s="34" t="str">
        <v/>
      </c>
      <c r="I54" s="34" t="str">
        <v/>
      </c>
      <c r="J54" s="34" t="str">
        <v/>
      </c>
      <c r="K54" s="34" t="str">
        <v/>
      </c>
      <c r="L54" s="34" t="str">
        <v/>
      </c>
      <c r="M54" s="34" t="str">
        <v>9</v>
      </c>
      <c r="N54" s="34" t="str">
        <v/>
      </c>
      <c r="O54" s="34" t="str">
        <v/>
      </c>
      <c r="P54" s="34" t="str">
        <v/>
      </c>
      <c r="Q54" s="34" t="str">
        <v/>
      </c>
      <c r="R54" s="34" t="str">
        <v/>
      </c>
      <c r="S54" s="34" t="str">
        <v>psi</v>
      </c>
      <c r="T54" s="34" t="str">
        <v/>
      </c>
      <c r="U54" s="34" t="str">
        <v>SW</v>
      </c>
      <c r="V54" s="34" t="str">
        <v/>
      </c>
      <c r="W54" s="34" t="str">
        <v>-</v>
      </c>
      <c r="X54" s="34" t="str">
        <v>DCS</v>
      </c>
      <c r="Y54" s="34" t="str">
        <v>-</v>
      </c>
      <c r="Z54" s="34" t="str">
        <v>No</v>
      </c>
      <c r="AA54" s="34" t="str">
        <v>AUX</v>
      </c>
      <c r="AB54" s="34" t="str">
        <v/>
      </c>
    </row>
    <row r="55" spans="1:28" ht="60">
      <c r="A55" s="34" t="str">
        <v>CA-741752-001</v>
      </c>
      <c r="B55" s="34" t="str">
        <v>631-PDIT -3054</v>
      </c>
      <c r="C55" s="34" t="str">
        <v>631-P-3054</v>
      </c>
      <c r="D55" s="34" t="str">
        <v>FIELD</v>
      </c>
      <c r="E55" s="34" t="str">
        <v>D/P TRANSMITTER</v>
      </c>
      <c r="F55" s="34" t="str">
        <v>631-D-0304B DSL FUEL FLTR DP</v>
      </c>
      <c r="G55" s="34" t="str">
        <v>0</v>
      </c>
      <c r="H55" s="34" t="str">
        <v>80</v>
      </c>
      <c r="I55" s="34" t="str">
        <v>psi</v>
      </c>
      <c r="J55" s="34" t="str">
        <v>0</v>
      </c>
      <c r="K55" s="34" t="str">
        <v>80</v>
      </c>
      <c r="L55" s="34" t="str">
        <v>psi</v>
      </c>
      <c r="M55" s="34" t="str">
        <v/>
      </c>
      <c r="N55" s="34" t="str">
        <v/>
      </c>
      <c r="O55" s="34" t="str">
        <v/>
      </c>
      <c r="P55" s="34" t="str">
        <v/>
      </c>
      <c r="Q55" s="34" t="str">
        <v/>
      </c>
      <c r="R55" s="34" t="str">
        <v/>
      </c>
      <c r="S55" s="34" t="str">
        <v/>
      </c>
      <c r="T55" s="34" t="str">
        <v>631-D-0304B</v>
      </c>
      <c r="U55" s="34" t="str">
        <v>HART AI</v>
      </c>
      <c r="V55" s="34" t="str">
        <v>631-DCS401</v>
      </c>
      <c r="W55" s="34" t="str">
        <v>4-20mA</v>
      </c>
      <c r="X55" s="34" t="str">
        <v>DCS</v>
      </c>
      <c r="Y55" s="34" t="str">
        <v>H</v>
      </c>
      <c r="Z55" s="34" t="str">
        <v>No</v>
      </c>
      <c r="AA55" s="34" t="str">
        <v>AUX</v>
      </c>
      <c r="AB55" s="34" t="str">
        <v/>
      </c>
    </row>
    <row r="56" spans="1:28" ht="60">
      <c r="A56" s="34" t="str">
        <v>CA-741752-001</v>
      </c>
      <c r="B56" s="34" t="str">
        <v>631-PDI  -3054</v>
      </c>
      <c r="C56" s="34" t="str">
        <v>631-P-3054</v>
      </c>
      <c r="D56" s="34" t="str">
        <v>DCS</v>
      </c>
      <c r="E56" s="34" t="str">
        <v>DIFF PRESSURE INDICATION</v>
      </c>
      <c r="F56" s="34" t="str">
        <v>631-D-0304B DSL FUEL FLTR DP</v>
      </c>
      <c r="G56" s="34" t="str">
        <v/>
      </c>
      <c r="H56" s="34" t="str">
        <v/>
      </c>
      <c r="I56" s="34" t="str">
        <v/>
      </c>
      <c r="J56" s="34" t="str">
        <v/>
      </c>
      <c r="K56" s="34" t="str">
        <v/>
      </c>
      <c r="L56" s="34" t="str">
        <v/>
      </c>
      <c r="M56" s="34" t="str">
        <v/>
      </c>
      <c r="N56" s="34" t="str">
        <v/>
      </c>
      <c r="O56" s="34" t="str">
        <v/>
      </c>
      <c r="P56" s="34" t="str">
        <v/>
      </c>
      <c r="Q56" s="34" t="str">
        <v/>
      </c>
      <c r="R56" s="34" t="str">
        <v/>
      </c>
      <c r="S56" s="34" t="str">
        <v/>
      </c>
      <c r="T56" s="34" t="str">
        <v/>
      </c>
      <c r="U56" s="34" t="str">
        <v>SW</v>
      </c>
      <c r="V56" s="34" t="str">
        <v/>
      </c>
      <c r="W56" s="34" t="str">
        <v>-</v>
      </c>
      <c r="X56" s="34" t="str">
        <v>DCS</v>
      </c>
      <c r="Y56" s="34" t="str">
        <v>-</v>
      </c>
      <c r="Z56" s="34" t="str">
        <v>No</v>
      </c>
      <c r="AA56" s="34" t="str">
        <v>AUX</v>
      </c>
      <c r="AB56" s="34" t="str">
        <v/>
      </c>
    </row>
    <row r="57" spans="1:28" ht="72">
      <c r="A57" s="34" t="str">
        <v>CA-741752-001</v>
      </c>
      <c r="B57" s="34" t="str">
        <v>631-PDAH -3054</v>
      </c>
      <c r="C57" s="34" t="str">
        <v>631-P-3054</v>
      </c>
      <c r="D57" s="34" t="str">
        <v>DCS</v>
      </c>
      <c r="E57" s="34" t="str">
        <v>DIFF PRESSURE ALARM HIGH</v>
      </c>
      <c r="F57" s="34" t="str">
        <v>631-D-0304B DSL FUEL FLTR DP HI</v>
      </c>
      <c r="G57" s="34" t="str">
        <v/>
      </c>
      <c r="H57" s="34" t="str">
        <v/>
      </c>
      <c r="I57" s="34" t="str">
        <v/>
      </c>
      <c r="J57" s="34" t="str">
        <v/>
      </c>
      <c r="K57" s="34" t="str">
        <v/>
      </c>
      <c r="L57" s="34" t="str">
        <v/>
      </c>
      <c r="M57" s="34" t="str">
        <v>9</v>
      </c>
      <c r="N57" s="34" t="str">
        <v/>
      </c>
      <c r="O57" s="34" t="str">
        <v/>
      </c>
      <c r="P57" s="34" t="str">
        <v/>
      </c>
      <c r="Q57" s="34" t="str">
        <v/>
      </c>
      <c r="R57" s="34" t="str">
        <v/>
      </c>
      <c r="S57" s="34" t="str">
        <v>psi</v>
      </c>
      <c r="T57" s="34" t="str">
        <v/>
      </c>
      <c r="U57" s="34" t="str">
        <v>SW</v>
      </c>
      <c r="V57" s="34" t="str">
        <v/>
      </c>
      <c r="W57" s="34" t="str">
        <v>-</v>
      </c>
      <c r="X57" s="34" t="str">
        <v>DCS</v>
      </c>
      <c r="Y57" s="34" t="str">
        <v>-</v>
      </c>
      <c r="Z57" s="34" t="str">
        <v>No</v>
      </c>
      <c r="AA57" s="34" t="str">
        <v>AUX</v>
      </c>
      <c r="AB57" s="34" t="str">
        <v/>
      </c>
    </row>
    <row r="58" spans="1:28" ht="84">
      <c r="A58" s="34" t="str">
        <v>CA-741752-001</v>
      </c>
      <c r="B58" s="34" t="str">
        <v>631-PIT  -3057</v>
      </c>
      <c r="C58" s="34" t="str">
        <v>631-P-3057</v>
      </c>
      <c r="D58" s="34" t="str">
        <v>FIELD</v>
      </c>
      <c r="E58" s="34" t="str">
        <v>PRESSURE INDICATING TRANSMITTER</v>
      </c>
      <c r="F58" s="34" t="str">
        <v>631-G-0306A DSL FUEL PMP DISCH PR</v>
      </c>
      <c r="G58" s="34" t="str">
        <v>0</v>
      </c>
      <c r="H58" s="34" t="str">
        <v>150</v>
      </c>
      <c r="I58" s="34" t="str">
        <v>psiG</v>
      </c>
      <c r="J58" s="34" t="str">
        <v>0</v>
      </c>
      <c r="K58" s="34" t="str">
        <v>150</v>
      </c>
      <c r="L58" s="34" t="str">
        <v>psiG</v>
      </c>
      <c r="M58" s="34" t="str">
        <v/>
      </c>
      <c r="N58" s="34" t="str">
        <v/>
      </c>
      <c r="O58" s="34" t="str">
        <v/>
      </c>
      <c r="P58" s="34" t="str">
        <v/>
      </c>
      <c r="Q58" s="34" t="str">
        <v/>
      </c>
      <c r="R58" s="34" t="str">
        <v/>
      </c>
      <c r="S58" s="34" t="str">
        <v/>
      </c>
      <c r="T58" s="34" t="str">
        <v/>
      </c>
      <c r="U58" s="34" t="str">
        <v>HART AI</v>
      </c>
      <c r="V58" s="34" t="str">
        <v>631-DCS401</v>
      </c>
      <c r="W58" s="34" t="str">
        <v>4-20mA</v>
      </c>
      <c r="X58" s="34" t="str">
        <v>DCS</v>
      </c>
      <c r="Y58" s="34" t="str">
        <v>H</v>
      </c>
      <c r="Z58" s="34" t="str">
        <v>No</v>
      </c>
      <c r="AA58" s="34" t="str">
        <v>AUX</v>
      </c>
      <c r="AB58" s="34" t="str">
        <v/>
      </c>
    </row>
    <row r="59" spans="1:28" ht="84">
      <c r="A59" s="34" t="str">
        <v>CA-741752-001</v>
      </c>
      <c r="B59" s="34" t="str">
        <v>631-PI   -3057</v>
      </c>
      <c r="C59" s="34" t="str">
        <v>631-P-3057</v>
      </c>
      <c r="D59" s="34" t="str">
        <v>DCS</v>
      </c>
      <c r="E59" s="34" t="str">
        <v>DCS PRESSURE INDICATION</v>
      </c>
      <c r="F59" s="34" t="str">
        <v>631-G-0306A DSL FUEL PMP DISCH PR</v>
      </c>
      <c r="G59" s="34" t="str">
        <v/>
      </c>
      <c r="H59" s="34" t="str">
        <v/>
      </c>
      <c r="I59" s="34" t="str">
        <v/>
      </c>
      <c r="J59" s="34" t="str">
        <v/>
      </c>
      <c r="K59" s="34" t="str">
        <v/>
      </c>
      <c r="L59" s="34" t="str">
        <v/>
      </c>
      <c r="M59" s="34" t="str">
        <v/>
      </c>
      <c r="N59" s="34" t="str">
        <v/>
      </c>
      <c r="O59" s="34" t="str">
        <v/>
      </c>
      <c r="P59" s="34" t="str">
        <v/>
      </c>
      <c r="Q59" s="34" t="str">
        <v/>
      </c>
      <c r="R59" s="34" t="str">
        <v/>
      </c>
      <c r="S59" s="34" t="str">
        <v/>
      </c>
      <c r="T59" s="34" t="str">
        <v/>
      </c>
      <c r="U59" s="34" t="str">
        <v>SW</v>
      </c>
      <c r="V59" s="34" t="str">
        <v/>
      </c>
      <c r="W59" s="34" t="str">
        <v>-</v>
      </c>
      <c r="X59" s="34" t="str">
        <v>DCS</v>
      </c>
      <c r="Y59" s="34" t="str">
        <v>-</v>
      </c>
      <c r="Z59" s="34" t="str">
        <v>No</v>
      </c>
      <c r="AA59" s="34" t="str">
        <v>AUX</v>
      </c>
      <c r="AB59" s="34" t="str">
        <v/>
      </c>
    </row>
    <row r="60" spans="1:28" ht="84">
      <c r="A60" s="34" t="str">
        <v>CA-741752-001</v>
      </c>
      <c r="B60" s="34" t="str">
        <v>631-PAH  -3057</v>
      </c>
      <c r="C60" s="34" t="str">
        <v>631-P-3057</v>
      </c>
      <c r="D60" s="34" t="str">
        <v>DCS</v>
      </c>
      <c r="E60" s="34" t="str">
        <v>PRESSURE ALARM HIGH</v>
      </c>
      <c r="F60" s="34" t="str">
        <v>631-G-0306A DSL FUEL PMP DISCH PR HI</v>
      </c>
      <c r="G60" s="34" t="str">
        <v/>
      </c>
      <c r="H60" s="34" t="str">
        <v/>
      </c>
      <c r="I60" s="34" t="str">
        <v/>
      </c>
      <c r="J60" s="34" t="str">
        <v/>
      </c>
      <c r="K60" s="34" t="str">
        <v/>
      </c>
      <c r="L60" s="34" t="str">
        <v/>
      </c>
      <c r="M60" s="34" t="str">
        <v>105</v>
      </c>
      <c r="N60" s="34" t="str">
        <v/>
      </c>
      <c r="O60" s="34" t="str">
        <v/>
      </c>
      <c r="P60" s="34" t="str">
        <v/>
      </c>
      <c r="Q60" s="34" t="str">
        <v/>
      </c>
      <c r="R60" s="34" t="str">
        <v/>
      </c>
      <c r="S60" s="34" t="str">
        <v>psiG</v>
      </c>
      <c r="T60" s="34" t="str">
        <v/>
      </c>
      <c r="U60" s="34" t="str">
        <v>SW</v>
      </c>
      <c r="V60" s="34" t="str">
        <v/>
      </c>
      <c r="W60" s="34" t="str">
        <v>-</v>
      </c>
      <c r="X60" s="34" t="str">
        <v>DCS</v>
      </c>
      <c r="Y60" s="34" t="str">
        <v>-</v>
      </c>
      <c r="Z60" s="34" t="str">
        <v>No</v>
      </c>
      <c r="AA60" s="34" t="str">
        <v>AUX</v>
      </c>
      <c r="AB60" s="34" t="str">
        <v/>
      </c>
    </row>
    <row r="61" spans="1:28" ht="84">
      <c r="A61" s="34" t="str">
        <v>CA-741752-001</v>
      </c>
      <c r="B61" s="34" t="str">
        <v>631-PIT  -3058</v>
      </c>
      <c r="C61" s="34" t="str">
        <v>631-P-3058</v>
      </c>
      <c r="D61" s="34" t="str">
        <v>FIELD</v>
      </c>
      <c r="E61" s="34" t="str">
        <v>PRESSURE INDICATING TRANSMITTER</v>
      </c>
      <c r="F61" s="34" t="str">
        <v>631-G-0306B DSL FUEL PMP DISCH PR</v>
      </c>
      <c r="G61" s="34" t="str">
        <v>0</v>
      </c>
      <c r="H61" s="34" t="str">
        <v>150</v>
      </c>
      <c r="I61" s="34" t="str">
        <v>psiG</v>
      </c>
      <c r="J61" s="34" t="str">
        <v>0</v>
      </c>
      <c r="K61" s="34" t="str">
        <v>150</v>
      </c>
      <c r="L61" s="34" t="str">
        <v>psiG</v>
      </c>
      <c r="M61" s="34" t="str">
        <v/>
      </c>
      <c r="N61" s="34" t="str">
        <v/>
      </c>
      <c r="O61" s="34" t="str">
        <v/>
      </c>
      <c r="P61" s="34" t="str">
        <v/>
      </c>
      <c r="Q61" s="34" t="str">
        <v/>
      </c>
      <c r="R61" s="34" t="str">
        <v/>
      </c>
      <c r="S61" s="34" t="str">
        <v/>
      </c>
      <c r="T61" s="34" t="str">
        <v/>
      </c>
      <c r="U61" s="34" t="str">
        <v>HART AI</v>
      </c>
      <c r="V61" s="34" t="str">
        <v>631-DCS401</v>
      </c>
      <c r="W61" s="34" t="str">
        <v>4-20mA</v>
      </c>
      <c r="X61" s="34" t="str">
        <v>DCS</v>
      </c>
      <c r="Y61" s="34" t="str">
        <v>H</v>
      </c>
      <c r="Z61" s="34" t="str">
        <v>No</v>
      </c>
      <c r="AA61" s="34" t="str">
        <v>AUX</v>
      </c>
      <c r="AB61" s="34" t="str">
        <v/>
      </c>
    </row>
    <row r="62" spans="1:28" ht="84">
      <c r="A62" s="34" t="str">
        <v>CA-741752-001</v>
      </c>
      <c r="B62" s="34" t="str">
        <v>631-PI   -3058</v>
      </c>
      <c r="C62" s="34" t="str">
        <v>631-P-3058</v>
      </c>
      <c r="D62" s="34" t="str">
        <v>DCS</v>
      </c>
      <c r="E62" s="34" t="str">
        <v>DCS PRESSURE INDICATION</v>
      </c>
      <c r="F62" s="34" t="str">
        <v>631-G-0306B DSL FUEL PMP DISCH PR</v>
      </c>
      <c r="G62" s="34" t="str">
        <v/>
      </c>
      <c r="H62" s="34" t="str">
        <v/>
      </c>
      <c r="I62" s="34" t="str">
        <v/>
      </c>
      <c r="J62" s="34" t="str">
        <v/>
      </c>
      <c r="K62" s="34" t="str">
        <v/>
      </c>
      <c r="L62" s="34" t="str">
        <v/>
      </c>
      <c r="M62" s="34" t="str">
        <v/>
      </c>
      <c r="N62" s="34" t="str">
        <v/>
      </c>
      <c r="O62" s="34" t="str">
        <v/>
      </c>
      <c r="P62" s="34" t="str">
        <v/>
      </c>
      <c r="Q62" s="34" t="str">
        <v/>
      </c>
      <c r="R62" s="34" t="str">
        <v/>
      </c>
      <c r="S62" s="34" t="str">
        <v/>
      </c>
      <c r="T62" s="34" t="str">
        <v/>
      </c>
      <c r="U62" s="34" t="str">
        <v>SW</v>
      </c>
      <c r="V62" s="34" t="str">
        <v/>
      </c>
      <c r="W62" s="34" t="str">
        <v>-</v>
      </c>
      <c r="X62" s="34" t="str">
        <v>DCS</v>
      </c>
      <c r="Y62" s="34" t="str">
        <v>-</v>
      </c>
      <c r="Z62" s="34" t="str">
        <v>No</v>
      </c>
      <c r="AA62" s="34" t="str">
        <v>AUX</v>
      </c>
      <c r="AB62" s="34" t="str">
        <v/>
      </c>
    </row>
    <row r="63" spans="1:28" ht="84">
      <c r="A63" s="34" t="str">
        <v>CA-741752-001</v>
      </c>
      <c r="B63" s="34" t="str">
        <v>631-PAH  -3058</v>
      </c>
      <c r="C63" s="34" t="str">
        <v>631-P-3058</v>
      </c>
      <c r="D63" s="34" t="str">
        <v>DCS</v>
      </c>
      <c r="E63" s="34" t="str">
        <v>PRESSURE ALARM HIGH</v>
      </c>
      <c r="F63" s="34" t="str">
        <v>631-G-0306B DSL FUEL PMP DISCH PR HI</v>
      </c>
      <c r="G63" s="34" t="str">
        <v/>
      </c>
      <c r="H63" s="34" t="str">
        <v/>
      </c>
      <c r="I63" s="34" t="str">
        <v/>
      </c>
      <c r="J63" s="34" t="str">
        <v/>
      </c>
      <c r="K63" s="34" t="str">
        <v/>
      </c>
      <c r="L63" s="34" t="str">
        <v/>
      </c>
      <c r="M63" s="34" t="str">
        <v>105</v>
      </c>
      <c r="N63" s="34" t="str">
        <v/>
      </c>
      <c r="O63" s="34" t="str">
        <v/>
      </c>
      <c r="P63" s="34" t="str">
        <v/>
      </c>
      <c r="Q63" s="34" t="str">
        <v/>
      </c>
      <c r="R63" s="34" t="str">
        <v/>
      </c>
      <c r="S63" s="34" t="str">
        <v>psiG</v>
      </c>
      <c r="T63" s="34" t="str">
        <v/>
      </c>
      <c r="U63" s="34" t="str">
        <v>SW</v>
      </c>
      <c r="V63" s="34" t="str">
        <v/>
      </c>
      <c r="W63" s="34" t="str">
        <v>-</v>
      </c>
      <c r="X63" s="34" t="str">
        <v>DCS</v>
      </c>
      <c r="Y63" s="34" t="str">
        <v>-</v>
      </c>
      <c r="Z63" s="34" t="str">
        <v>No</v>
      </c>
      <c r="AA63" s="34" t="str">
        <v>AUX</v>
      </c>
      <c r="AB63" s="34" t="str">
        <v/>
      </c>
    </row>
    <row r="64" spans="1:28" ht="84">
      <c r="A64" s="34" t="str">
        <v>CA-741752-001</v>
      </c>
      <c r="B64" s="34" t="str">
        <v>631-TIT  -3051</v>
      </c>
      <c r="C64" s="34" t="str">
        <v>631-T-3051</v>
      </c>
      <c r="D64" s="34" t="str">
        <v>FIELD</v>
      </c>
      <c r="E64" s="34" t="str">
        <v>TEMPERATURE INDICATING TRANSMITTER</v>
      </c>
      <c r="F64" s="34" t="str">
        <v>631-G-0306A DSL FUEL PMP DISCH TEMP</v>
      </c>
      <c r="G64" s="34" t="str">
        <v>0</v>
      </c>
      <c r="H64" s="34" t="str">
        <v>160</v>
      </c>
      <c r="I64" s="34" t="str">
        <v>°F</v>
      </c>
      <c r="J64" s="34" t="str">
        <v>0</v>
      </c>
      <c r="K64" s="34" t="str">
        <v>160</v>
      </c>
      <c r="L64" s="34" t="str">
        <v>°F</v>
      </c>
      <c r="M64" s="34" t="str">
        <v/>
      </c>
      <c r="N64" s="34" t="str">
        <v/>
      </c>
      <c r="O64" s="34" t="str">
        <v/>
      </c>
      <c r="P64" s="34" t="str">
        <v/>
      </c>
      <c r="Q64" s="34" t="str">
        <v/>
      </c>
      <c r="R64" s="34" t="str">
        <v/>
      </c>
      <c r="S64" s="34" t="str">
        <v/>
      </c>
      <c r="T64" s="34" t="str">
        <v/>
      </c>
      <c r="U64" s="34" t="str">
        <v>HART AI</v>
      </c>
      <c r="V64" s="34" t="str">
        <v>631-DCS401</v>
      </c>
      <c r="W64" s="34" t="str">
        <v>4-20mA</v>
      </c>
      <c r="X64" s="34" t="str">
        <v>DCS</v>
      </c>
      <c r="Y64" s="34" t="str">
        <v>H</v>
      </c>
      <c r="Z64" s="34" t="str">
        <v>No</v>
      </c>
      <c r="AA64" s="34" t="str">
        <v>AUX</v>
      </c>
      <c r="AB64" s="34" t="str">
        <v/>
      </c>
    </row>
    <row r="65" spans="1:28" ht="84">
      <c r="A65" s="34" t="str">
        <v>CA-741752-001</v>
      </c>
      <c r="B65" s="34" t="str">
        <v>631-TI   -3051</v>
      </c>
      <c r="C65" s="34" t="str">
        <v>631-T-3051</v>
      </c>
      <c r="D65" s="34" t="str">
        <v>DCS</v>
      </c>
      <c r="E65" s="34" t="str">
        <v>DCS TEMPERATURE INDICATION</v>
      </c>
      <c r="F65" s="34" t="str">
        <v>631-G-0306A DSL FUEL PMP DISCH TEMP</v>
      </c>
      <c r="G65" s="34" t="str">
        <v/>
      </c>
      <c r="H65" s="34" t="str">
        <v/>
      </c>
      <c r="I65" s="34" t="str">
        <v/>
      </c>
      <c r="J65" s="34" t="str">
        <v/>
      </c>
      <c r="K65" s="34" t="str">
        <v/>
      </c>
      <c r="L65" s="34" t="str">
        <v/>
      </c>
      <c r="M65" s="34" t="str">
        <v/>
      </c>
      <c r="N65" s="34" t="str">
        <v/>
      </c>
      <c r="O65" s="34" t="str">
        <v/>
      </c>
      <c r="P65" s="34" t="str">
        <v/>
      </c>
      <c r="Q65" s="34" t="str">
        <v/>
      </c>
      <c r="R65" s="34" t="str">
        <v/>
      </c>
      <c r="S65" s="34" t="str">
        <v/>
      </c>
      <c r="T65" s="34" t="str">
        <v/>
      </c>
      <c r="U65" s="34" t="str">
        <v>SW</v>
      </c>
      <c r="V65" s="34" t="str">
        <v/>
      </c>
      <c r="W65" s="34" t="str">
        <v>-</v>
      </c>
      <c r="X65" s="34" t="str">
        <v>DCS</v>
      </c>
      <c r="Y65" s="34" t="str">
        <v>-</v>
      </c>
      <c r="Z65" s="34" t="str">
        <v>No</v>
      </c>
      <c r="AA65" s="34" t="str">
        <v>AUX</v>
      </c>
      <c r="AB65" s="34" t="str">
        <v/>
      </c>
    </row>
    <row r="66" spans="1:28" ht="84">
      <c r="A66" s="34" t="str">
        <v>CA-741752-001</v>
      </c>
      <c r="B66" s="34" t="str">
        <v>631-TIT  -3052</v>
      </c>
      <c r="C66" s="34" t="str">
        <v>631-T-3052</v>
      </c>
      <c r="D66" s="34" t="str">
        <v>FIELD</v>
      </c>
      <c r="E66" s="34" t="str">
        <v>TEMPERATURE INDICATING TRANSMITTER</v>
      </c>
      <c r="F66" s="34" t="str">
        <v>631-G-0306B DSL FUEL PMP DISCH TEMP</v>
      </c>
      <c r="G66" s="34" t="str">
        <v>0</v>
      </c>
      <c r="H66" s="34" t="str">
        <v>160</v>
      </c>
      <c r="I66" s="34" t="str">
        <v>°F</v>
      </c>
      <c r="J66" s="34" t="str">
        <v>0</v>
      </c>
      <c r="K66" s="34" t="str">
        <v>160</v>
      </c>
      <c r="L66" s="34" t="str">
        <v>°F</v>
      </c>
      <c r="M66" s="34" t="str">
        <v/>
      </c>
      <c r="N66" s="34" t="str">
        <v/>
      </c>
      <c r="O66" s="34" t="str">
        <v/>
      </c>
      <c r="P66" s="34" t="str">
        <v/>
      </c>
      <c r="Q66" s="34" t="str">
        <v/>
      </c>
      <c r="R66" s="34" t="str">
        <v/>
      </c>
      <c r="S66" s="34" t="str">
        <v/>
      </c>
      <c r="T66" s="34" t="str">
        <v/>
      </c>
      <c r="U66" s="34" t="str">
        <v>HART AI</v>
      </c>
      <c r="V66" s="34" t="str">
        <v>631-DCS401</v>
      </c>
      <c r="W66" s="34" t="str">
        <v>4-20mA</v>
      </c>
      <c r="X66" s="34" t="str">
        <v>DCS</v>
      </c>
      <c r="Y66" s="34" t="str">
        <v>H</v>
      </c>
      <c r="Z66" s="34" t="str">
        <v>No</v>
      </c>
      <c r="AA66" s="34" t="str">
        <v>AUX</v>
      </c>
      <c r="AB66" s="34" t="str">
        <v/>
      </c>
    </row>
    <row r="67" spans="1:28" ht="84">
      <c r="A67" s="34" t="str">
        <v>CA-741752-001</v>
      </c>
      <c r="B67" s="34" t="str">
        <v>631-TI   -3052</v>
      </c>
      <c r="C67" s="34" t="str">
        <v>631-T-3052</v>
      </c>
      <c r="D67" s="34" t="str">
        <v>DCS</v>
      </c>
      <c r="E67" s="34" t="str">
        <v>DCS TEMPERATURE INDICATION</v>
      </c>
      <c r="F67" s="34" t="str">
        <v>631-G-0306B DSL FUEL PMP DISCH TEMP</v>
      </c>
      <c r="G67" s="34" t="str">
        <v/>
      </c>
      <c r="H67" s="34" t="str">
        <v/>
      </c>
      <c r="I67" s="34" t="str">
        <v/>
      </c>
      <c r="J67" s="34" t="str">
        <v/>
      </c>
      <c r="K67" s="34" t="str">
        <v/>
      </c>
      <c r="L67" s="34" t="str">
        <v/>
      </c>
      <c r="M67" s="34" t="str">
        <v/>
      </c>
      <c r="N67" s="34" t="str">
        <v/>
      </c>
      <c r="O67" s="34" t="str">
        <v/>
      </c>
      <c r="P67" s="34" t="str">
        <v/>
      </c>
      <c r="Q67" s="34" t="str">
        <v/>
      </c>
      <c r="R67" s="34" t="str">
        <v/>
      </c>
      <c r="S67" s="34" t="str">
        <v/>
      </c>
      <c r="T67" s="34" t="str">
        <v/>
      </c>
      <c r="U67" s="34" t="str">
        <v>SW</v>
      </c>
      <c r="V67" s="34" t="str">
        <v/>
      </c>
      <c r="W67" s="34" t="str">
        <v>-</v>
      </c>
      <c r="X67" s="34" t="str">
        <v>DCS</v>
      </c>
      <c r="Y67" s="34" t="str">
        <v>-</v>
      </c>
      <c r="Z67" s="34" t="str">
        <v>No</v>
      </c>
      <c r="AA67" s="34" t="str">
        <v>AUX</v>
      </c>
      <c r="AB67" s="34" t="str">
        <v/>
      </c>
    </row>
    <row r="68" spans="1:28" ht="72">
      <c r="A68" s="34" t="str">
        <v>CA-741752-001</v>
      </c>
      <c r="B68" s="34" t="str">
        <v>631-XR   -3056</v>
      </c>
      <c r="C68" s="34" t="str">
        <v>631-X-3056</v>
      </c>
      <c r="D68" s="34" t="str">
        <v>LP</v>
      </c>
      <c r="E68" s="34" t="str">
        <v>LOCAL PANEL STROBE/HORN</v>
      </c>
      <c r="F68" s="34" t="str">
        <v>631-LCP-4035 DSL FUEL TNK LVL HI HORN</v>
      </c>
      <c r="G68" s="34" t="str">
        <v/>
      </c>
      <c r="H68" s="34" t="str">
        <v/>
      </c>
      <c r="I68" s="34" t="str">
        <v/>
      </c>
      <c r="J68" s="34" t="str">
        <v/>
      </c>
      <c r="K68" s="34" t="str">
        <v/>
      </c>
      <c r="L68" s="34" t="str">
        <v/>
      </c>
      <c r="M68" s="34" t="str">
        <v/>
      </c>
      <c r="N68" s="34" t="str">
        <v/>
      </c>
      <c r="O68" s="34" t="str">
        <v/>
      </c>
      <c r="P68" s="34" t="str">
        <v/>
      </c>
      <c r="Q68" s="34" t="str">
        <v/>
      </c>
      <c r="R68" s="34" t="str">
        <v/>
      </c>
      <c r="S68" s="34" t="str">
        <v/>
      </c>
      <c r="T68" s="34" t="str">
        <v/>
      </c>
      <c r="U68" s="34" t="str">
        <v>DO</v>
      </c>
      <c r="V68" s="34" t="str">
        <v>631-DCS401</v>
      </c>
      <c r="W68" s="34" t="str">
        <v>24VDC</v>
      </c>
      <c r="X68" s="34" t="str">
        <v>DCS</v>
      </c>
      <c r="Y68" s="34" t="str">
        <v>C</v>
      </c>
      <c r="Z68" s="34" t="str">
        <v>No</v>
      </c>
      <c r="AA68" s="34" t="str">
        <v>AUX</v>
      </c>
      <c r="AB68" s="34" t="str"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96EB-81E9-48B0-89D7-25BFD67DFFC9}">
  <dimension ref="A1:AB58"/>
  <sheetViews>
    <sheetView workbookViewId="0"/>
  </sheetViews>
  <sheetFormatPr defaultRowHeight="15"/>
  <cols>
    <col min="1" max="2" width="20" style="34" customWidth="1"/>
    <col min="3" max="3" width="18.140625" style="34" customWidth="1"/>
    <col min="4" max="4" width="9.140625" style="34"/>
    <col min="5" max="5" width="41.85546875" style="34" customWidth="1"/>
    <col min="6" max="6" width="49.5703125" style="34" customWidth="1"/>
    <col min="7" max="26" width="9.140625" style="34"/>
    <col min="27" max="27" width="24.7109375" style="34" customWidth="1"/>
    <col min="28" max="28" width="14.28515625" style="34" customWidth="1"/>
  </cols>
  <sheetData>
    <row r="1" spans="1:28" ht="36" customHeight="1">
      <c r="A1" s="33" t="s">
        <v>4</v>
      </c>
      <c r="B1" s="33" t="s">
        <v>5</v>
      </c>
      <c r="C1" s="33" t="s">
        <v>6</v>
      </c>
      <c r="D1" s="33" t="s">
        <v>7</v>
      </c>
      <c r="E1" s="33" t="s">
        <v>8</v>
      </c>
      <c r="F1" s="33" t="s">
        <v>9</v>
      </c>
      <c r="G1" s="33" t="s">
        <v>10</v>
      </c>
      <c r="H1" s="33" t="s">
        <v>11</v>
      </c>
      <c r="I1" s="33" t="s">
        <v>12</v>
      </c>
      <c r="J1" s="33" t="s">
        <v>13</v>
      </c>
      <c r="K1" s="33" t="s">
        <v>14</v>
      </c>
      <c r="L1" s="33" t="s">
        <v>15</v>
      </c>
      <c r="M1" s="33" t="s">
        <v>16</v>
      </c>
      <c r="N1" s="33" t="s">
        <v>17</v>
      </c>
      <c r="O1" s="33" t="s">
        <v>18</v>
      </c>
      <c r="P1" s="33" t="s">
        <v>19</v>
      </c>
      <c r="Q1" s="33" t="s">
        <v>20</v>
      </c>
      <c r="R1" s="33" t="s">
        <v>21</v>
      </c>
      <c r="S1" s="33" t="s">
        <v>22</v>
      </c>
      <c r="T1" s="33" t="s">
        <v>23</v>
      </c>
      <c r="U1" s="33" t="s">
        <v>24</v>
      </c>
      <c r="V1" s="33" t="s">
        <v>25</v>
      </c>
      <c r="W1" s="33" t="s">
        <v>26</v>
      </c>
      <c r="X1" s="33" t="s">
        <v>27</v>
      </c>
      <c r="Y1" s="33" t="s">
        <v>28</v>
      </c>
      <c r="Z1" s="33" t="s">
        <v>29</v>
      </c>
      <c r="AA1" s="33" t="s">
        <v>30</v>
      </c>
      <c r="AB1" s="33" t="s">
        <v>31</v>
      </c>
    </row>
    <row r="2" spans="1:28" ht="84">
      <c r="A2" s="34" t="str" cm="1">
        <f t="array" ref="A2:AB58">_xlfn.LET(_xlpm.x,_xlfn._xlws.FILTER(FilteredIORecords[],FilteredIORecords[PID]="CA-741768-001",""),IF(_xlpm.x="","",_xlpm.x))</f>
        <v>CA-741768-001</v>
      </c>
      <c r="B2" s="34" t="str">
        <v>631-FIT  -3718</v>
      </c>
      <c r="C2" s="34" t="str">
        <v>631-F-3718</v>
      </c>
      <c r="D2" s="34" t="str">
        <v>FIELD</v>
      </c>
      <c r="E2" s="34" t="str">
        <v>FLOW INDICATING TRANSMITTER - D/P</v>
      </c>
      <c r="F2" s="34" t="str">
        <v>631-G-0262A POTABLE WTR PMP DISCH FLO</v>
      </c>
      <c r="G2" s="34" t="str">
        <v>0</v>
      </c>
      <c r="H2" s="34" t="str">
        <v>200</v>
      </c>
      <c r="I2" s="34" t="str">
        <v>inH2O</v>
      </c>
      <c r="J2" s="34" t="str">
        <v>0</v>
      </c>
      <c r="K2" s="34" t="str">
        <v>330</v>
      </c>
      <c r="L2" s="34" t="str">
        <v>US gal/min</v>
      </c>
      <c r="M2" s="34" t="str">
        <v/>
      </c>
      <c r="N2" s="34" t="str">
        <v/>
      </c>
      <c r="O2" s="34" t="str">
        <v/>
      </c>
      <c r="P2" s="34" t="str">
        <v/>
      </c>
      <c r="Q2" s="34" t="str">
        <v/>
      </c>
      <c r="R2" s="34" t="str">
        <v/>
      </c>
      <c r="S2" s="34" t="str">
        <v/>
      </c>
      <c r="T2" s="34" t="str">
        <v/>
      </c>
      <c r="U2" s="34" t="str">
        <v>HART AI</v>
      </c>
      <c r="V2" s="34" t="str">
        <v>631-DCS402</v>
      </c>
      <c r="W2" s="34" t="str">
        <v>4-20mA</v>
      </c>
      <c r="X2" s="34" t="str">
        <v>DCS</v>
      </c>
      <c r="Y2" s="34" t="str">
        <v>H</v>
      </c>
      <c r="Z2" s="34" t="str">
        <v>No</v>
      </c>
      <c r="AA2" s="34" t="str">
        <v>AUX</v>
      </c>
      <c r="AB2" s="34" t="str">
        <v/>
      </c>
    </row>
    <row r="3" spans="1:28" ht="96">
      <c r="A3" s="34" t="str">
        <v>CA-741768-001</v>
      </c>
      <c r="B3" s="34" t="str">
        <v>631-FIC  -3718</v>
      </c>
      <c r="C3" s="34" t="str">
        <v>631-F-3718</v>
      </c>
      <c r="D3" s="34" t="str">
        <v>DCS</v>
      </c>
      <c r="E3" s="34" t="str">
        <v>FLOW INDICATING CONTROLLER</v>
      </c>
      <c r="F3" s="34" t="str">
        <v>631-G-0262A POTABLE WTR PMP DISCH FLO CTRL</v>
      </c>
      <c r="G3" s="34" t="str">
        <v/>
      </c>
      <c r="H3" s="34" t="str">
        <v/>
      </c>
      <c r="I3" s="34" t="str">
        <v/>
      </c>
      <c r="J3" s="34" t="str">
        <v/>
      </c>
      <c r="K3" s="34" t="str">
        <v/>
      </c>
      <c r="L3" s="34" t="str">
        <v/>
      </c>
      <c r="M3" s="34" t="str">
        <v/>
      </c>
      <c r="N3" s="34" t="str">
        <v/>
      </c>
      <c r="O3" s="34" t="str">
        <v/>
      </c>
      <c r="P3" s="34" t="str">
        <v/>
      </c>
      <c r="Q3" s="34" t="str">
        <v/>
      </c>
      <c r="R3" s="34" t="str">
        <v/>
      </c>
      <c r="S3" s="34" t="str">
        <v/>
      </c>
      <c r="T3" s="34" t="str">
        <v/>
      </c>
      <c r="U3" s="34" t="str">
        <v>SW</v>
      </c>
      <c r="V3" s="34" t="str">
        <v/>
      </c>
      <c r="W3" s="34" t="str">
        <v>-</v>
      </c>
      <c r="X3" s="34" t="str">
        <v>DCS</v>
      </c>
      <c r="Y3" s="34" t="str">
        <v>-</v>
      </c>
      <c r="Z3" s="34" t="str">
        <v>No</v>
      </c>
      <c r="AA3" s="34" t="str">
        <v>AUX</v>
      </c>
      <c r="AB3" s="34" t="str">
        <v/>
      </c>
    </row>
    <row r="4" spans="1:28" ht="72">
      <c r="A4" s="34" t="str">
        <v>CA-741768-001</v>
      </c>
      <c r="B4" s="34" t="str">
        <v>631-FY   -3718</v>
      </c>
      <c r="C4" s="34" t="str">
        <v>631-F-3718</v>
      </c>
      <c r="D4" s="34" t="str">
        <v>VALVE</v>
      </c>
      <c r="E4" s="34" t="str">
        <v>I/P CONVERTER</v>
      </c>
      <c r="F4" s="34" t="str">
        <v>631-G-0262A POTABLE WTR PMP MIN FLO</v>
      </c>
      <c r="G4" s="34" t="str">
        <v/>
      </c>
      <c r="H4" s="34" t="str">
        <v/>
      </c>
      <c r="I4" s="34" t="str">
        <v/>
      </c>
      <c r="J4" s="34" t="str">
        <v/>
      </c>
      <c r="K4" s="34" t="str">
        <v/>
      </c>
      <c r="L4" s="34" t="str">
        <v/>
      </c>
      <c r="M4" s="34" t="str">
        <v/>
      </c>
      <c r="N4" s="34" t="str">
        <v/>
      </c>
      <c r="O4" s="34" t="str">
        <v/>
      </c>
      <c r="P4" s="34" t="str">
        <v/>
      </c>
      <c r="Q4" s="34" t="str">
        <v/>
      </c>
      <c r="R4" s="34" t="str">
        <v/>
      </c>
      <c r="S4" s="34" t="str">
        <v/>
      </c>
      <c r="T4" s="34" t="str">
        <v/>
      </c>
      <c r="U4" s="34" t="str">
        <v>HART AO</v>
      </c>
      <c r="V4" s="34" t="str">
        <v>631-DCS402</v>
      </c>
      <c r="W4" s="34" t="str">
        <v>4-20mA</v>
      </c>
      <c r="X4" s="34" t="str">
        <v>DCS</v>
      </c>
      <c r="Y4" s="34" t="str">
        <v>H</v>
      </c>
      <c r="Z4" s="34" t="str">
        <v>No</v>
      </c>
      <c r="AA4" s="34" t="str">
        <v>AUX</v>
      </c>
      <c r="AB4" s="34" t="str">
        <v/>
      </c>
    </row>
    <row r="5" spans="1:28" ht="84">
      <c r="A5" s="34" t="str">
        <v>CA-741768-001</v>
      </c>
      <c r="B5" s="34" t="str">
        <v>631-FAL  -3718</v>
      </c>
      <c r="C5" s="34" t="str">
        <v>631-F-3718</v>
      </c>
      <c r="D5" s="34" t="str">
        <v>DCS</v>
      </c>
      <c r="E5" s="34" t="str">
        <v>FLOW ALARM LOW</v>
      </c>
      <c r="F5" s="34" t="str">
        <v>631-G-0262A POTABLE WTR PMP DISCH FLO LO</v>
      </c>
      <c r="G5" s="34" t="str">
        <v/>
      </c>
      <c r="H5" s="34" t="str">
        <v/>
      </c>
      <c r="I5" s="34" t="str">
        <v/>
      </c>
      <c r="J5" s="34" t="str">
        <v/>
      </c>
      <c r="K5" s="34" t="str">
        <v/>
      </c>
      <c r="L5" s="34" t="str">
        <v/>
      </c>
      <c r="M5" s="34" t="str">
        <v/>
      </c>
      <c r="N5" s="34" t="str">
        <v/>
      </c>
      <c r="O5" s="34" t="str">
        <v/>
      </c>
      <c r="P5" s="34" t="str">
        <v>105</v>
      </c>
      <c r="Q5" s="34" t="str">
        <v/>
      </c>
      <c r="R5" s="34" t="str">
        <v/>
      </c>
      <c r="S5" s="34" t="str">
        <v>US gal/min</v>
      </c>
      <c r="T5" s="34" t="str">
        <v/>
      </c>
      <c r="U5" s="34" t="str">
        <v>SW</v>
      </c>
      <c r="V5" s="34" t="str">
        <v/>
      </c>
      <c r="W5" s="34" t="str">
        <v>-</v>
      </c>
      <c r="X5" s="34" t="str">
        <v>DCS</v>
      </c>
      <c r="Y5" s="34" t="str">
        <v>-</v>
      </c>
      <c r="Z5" s="34" t="str">
        <v>No</v>
      </c>
      <c r="AA5" s="34" t="str">
        <v>AUX</v>
      </c>
      <c r="AB5" s="34" t="str">
        <v/>
      </c>
    </row>
    <row r="6" spans="1:28" ht="84">
      <c r="A6" s="34" t="str">
        <v>CA-741768-001</v>
      </c>
      <c r="B6" s="34" t="str">
        <v>631-FIT  -3719</v>
      </c>
      <c r="C6" s="34" t="str">
        <v>631-F-3719</v>
      </c>
      <c r="D6" s="34" t="str">
        <v>FIELD</v>
      </c>
      <c r="E6" s="34" t="str">
        <v>FLOW INDICATING TRANSMITTER - D/P</v>
      </c>
      <c r="F6" s="34" t="str">
        <v>631-G-0262B POTABLE WTR PMP DISCH FLO</v>
      </c>
      <c r="G6" s="34" t="str">
        <v>0</v>
      </c>
      <c r="H6" s="34" t="str">
        <v>200</v>
      </c>
      <c r="I6" s="34" t="str">
        <v>inH2O</v>
      </c>
      <c r="J6" s="34" t="str">
        <v>0</v>
      </c>
      <c r="K6" s="34" t="str">
        <v>330</v>
      </c>
      <c r="L6" s="34" t="str">
        <v>US gal/min</v>
      </c>
      <c r="M6" s="34" t="str">
        <v/>
      </c>
      <c r="N6" s="34" t="str">
        <v/>
      </c>
      <c r="O6" s="34" t="str">
        <v/>
      </c>
      <c r="P6" s="34" t="str">
        <v/>
      </c>
      <c r="Q6" s="34" t="str">
        <v/>
      </c>
      <c r="R6" s="34" t="str">
        <v/>
      </c>
      <c r="S6" s="34" t="str">
        <v/>
      </c>
      <c r="T6" s="34" t="str">
        <v/>
      </c>
      <c r="U6" s="34" t="str">
        <v>HART AI</v>
      </c>
      <c r="V6" s="34" t="str">
        <v>631-DCS402</v>
      </c>
      <c r="W6" s="34" t="str">
        <v>4-20mA</v>
      </c>
      <c r="X6" s="34" t="str">
        <v>DCS</v>
      </c>
      <c r="Y6" s="34" t="str">
        <v>H</v>
      </c>
      <c r="Z6" s="34" t="str">
        <v>No</v>
      </c>
      <c r="AA6" s="34" t="str">
        <v>AUX</v>
      </c>
      <c r="AB6" s="34" t="str">
        <v/>
      </c>
    </row>
    <row r="7" spans="1:28" ht="96">
      <c r="A7" s="34" t="str">
        <v>CA-741768-001</v>
      </c>
      <c r="B7" s="34" t="str">
        <v>631-FIC  -3719</v>
      </c>
      <c r="C7" s="34" t="str">
        <v>631-F-3719</v>
      </c>
      <c r="D7" s="34" t="str">
        <v>DCS</v>
      </c>
      <c r="E7" s="34" t="str">
        <v>FLOW INDICATING CONTROLLER</v>
      </c>
      <c r="F7" s="34" t="str">
        <v>631-G-0262B POTABLE WTR PMP DISCH FLO CTRL</v>
      </c>
      <c r="G7" s="34" t="str">
        <v/>
      </c>
      <c r="H7" s="34" t="str">
        <v/>
      </c>
      <c r="I7" s="34" t="str">
        <v/>
      </c>
      <c r="J7" s="34" t="str">
        <v/>
      </c>
      <c r="K7" s="34" t="str">
        <v/>
      </c>
      <c r="L7" s="34" t="str">
        <v/>
      </c>
      <c r="M7" s="34" t="str">
        <v/>
      </c>
      <c r="N7" s="34" t="str">
        <v/>
      </c>
      <c r="O7" s="34" t="str">
        <v/>
      </c>
      <c r="P7" s="34" t="str">
        <v/>
      </c>
      <c r="Q7" s="34" t="str">
        <v/>
      </c>
      <c r="R7" s="34" t="str">
        <v/>
      </c>
      <c r="S7" s="34" t="str">
        <v/>
      </c>
      <c r="T7" s="34" t="str">
        <v/>
      </c>
      <c r="U7" s="34" t="str">
        <v>SW</v>
      </c>
      <c r="V7" s="34" t="str">
        <v/>
      </c>
      <c r="W7" s="34" t="str">
        <v>-</v>
      </c>
      <c r="X7" s="34" t="str">
        <v>DCS</v>
      </c>
      <c r="Y7" s="34" t="str">
        <v>-</v>
      </c>
      <c r="Z7" s="34" t="str">
        <v>No</v>
      </c>
      <c r="AA7" s="34" t="str">
        <v>AUX</v>
      </c>
      <c r="AB7" s="34" t="str">
        <v/>
      </c>
    </row>
    <row r="8" spans="1:28" ht="72">
      <c r="A8" s="34" t="str">
        <v>CA-741768-001</v>
      </c>
      <c r="B8" s="34" t="str">
        <v>631-FY   -3719</v>
      </c>
      <c r="C8" s="34" t="str">
        <v>631-F-3719</v>
      </c>
      <c r="D8" s="34" t="str">
        <v>VALVE</v>
      </c>
      <c r="E8" s="34" t="str">
        <v>I/P CONVERTER</v>
      </c>
      <c r="F8" s="34" t="str">
        <v>631-G-0262B POTABLE WTR PMP MIN FLO</v>
      </c>
      <c r="G8" s="34" t="str">
        <v/>
      </c>
      <c r="H8" s="34" t="str">
        <v/>
      </c>
      <c r="I8" s="34" t="str">
        <v/>
      </c>
      <c r="J8" s="34" t="str">
        <v/>
      </c>
      <c r="K8" s="34" t="str">
        <v/>
      </c>
      <c r="L8" s="34" t="str">
        <v/>
      </c>
      <c r="M8" s="34" t="str">
        <v/>
      </c>
      <c r="N8" s="34" t="str">
        <v/>
      </c>
      <c r="O8" s="34" t="str">
        <v/>
      </c>
      <c r="P8" s="34" t="str">
        <v/>
      </c>
      <c r="Q8" s="34" t="str">
        <v/>
      </c>
      <c r="R8" s="34" t="str">
        <v/>
      </c>
      <c r="S8" s="34" t="str">
        <v/>
      </c>
      <c r="T8" s="34" t="str">
        <v/>
      </c>
      <c r="U8" s="34" t="str">
        <v>HART AO</v>
      </c>
      <c r="V8" s="34" t="str">
        <v>631-DCS402</v>
      </c>
      <c r="W8" s="34" t="str">
        <v>4-20mA</v>
      </c>
      <c r="X8" s="34" t="str">
        <v>DCS</v>
      </c>
      <c r="Y8" s="34" t="str">
        <v>H</v>
      </c>
      <c r="Z8" s="34" t="str">
        <v>No</v>
      </c>
      <c r="AA8" s="34" t="str">
        <v>AUX</v>
      </c>
      <c r="AB8" s="34" t="str">
        <v/>
      </c>
    </row>
    <row r="9" spans="1:28" ht="84">
      <c r="A9" s="34" t="str">
        <v>CA-741768-001</v>
      </c>
      <c r="B9" s="34" t="str">
        <v>631-FAL  -3719</v>
      </c>
      <c r="C9" s="34" t="str">
        <v>631-F-3719</v>
      </c>
      <c r="D9" s="34" t="str">
        <v>DCS</v>
      </c>
      <c r="E9" s="34" t="str">
        <v>FLOW ALARM LOW</v>
      </c>
      <c r="F9" s="34" t="str">
        <v>631-G-0262B POTABLE WTR PMP DISCH FLO LO</v>
      </c>
      <c r="G9" s="34" t="str">
        <v/>
      </c>
      <c r="H9" s="34" t="str">
        <v/>
      </c>
      <c r="I9" s="34" t="str">
        <v/>
      </c>
      <c r="J9" s="34" t="str">
        <v/>
      </c>
      <c r="K9" s="34" t="str">
        <v/>
      </c>
      <c r="L9" s="34" t="str">
        <v/>
      </c>
      <c r="M9" s="34" t="str">
        <v/>
      </c>
      <c r="N9" s="34" t="str">
        <v/>
      </c>
      <c r="O9" s="34" t="str">
        <v/>
      </c>
      <c r="P9" s="34" t="str">
        <v>105</v>
      </c>
      <c r="Q9" s="34" t="str">
        <v/>
      </c>
      <c r="R9" s="34" t="str">
        <v/>
      </c>
      <c r="S9" s="34" t="str">
        <v>US gal/min</v>
      </c>
      <c r="T9" s="34" t="str">
        <v/>
      </c>
      <c r="U9" s="34" t="str">
        <v>SW</v>
      </c>
      <c r="V9" s="34" t="str">
        <v/>
      </c>
      <c r="W9" s="34" t="str">
        <v>-</v>
      </c>
      <c r="X9" s="34" t="str">
        <v>DCS</v>
      </c>
      <c r="Y9" s="34" t="str">
        <v>-</v>
      </c>
      <c r="Z9" s="34" t="str">
        <v>No</v>
      </c>
      <c r="AA9" s="34" t="str">
        <v>AUX</v>
      </c>
      <c r="AB9" s="34" t="str">
        <v/>
      </c>
    </row>
    <row r="10" spans="1:28" ht="96">
      <c r="A10" s="34" t="str">
        <v>CA-741768-001</v>
      </c>
      <c r="B10" s="34" t="str">
        <v>631-HS   -3702</v>
      </c>
      <c r="C10" s="34" t="str">
        <v>631-H-3702</v>
      </c>
      <c r="D10" s="34" t="str">
        <v>DCS</v>
      </c>
      <c r="E10" s="34" t="str">
        <v>DCS HANDSWITCH</v>
      </c>
      <c r="F10" s="34" t="str">
        <v>631-G-0262A/B POTABLE WTR PMP DUTY SEL</v>
      </c>
      <c r="G10" s="34" t="str">
        <v/>
      </c>
      <c r="H10" s="34" t="str">
        <v/>
      </c>
      <c r="I10" s="34" t="str">
        <v/>
      </c>
      <c r="J10" s="34" t="str">
        <v/>
      </c>
      <c r="K10" s="34" t="str">
        <v/>
      </c>
      <c r="L10" s="34" t="str">
        <v/>
      </c>
      <c r="M10" s="34" t="str">
        <v/>
      </c>
      <c r="N10" s="34" t="str">
        <v/>
      </c>
      <c r="O10" s="34" t="str">
        <v/>
      </c>
      <c r="P10" s="34" t="str">
        <v/>
      </c>
      <c r="Q10" s="34" t="str">
        <v/>
      </c>
      <c r="R10" s="34" t="str">
        <v/>
      </c>
      <c r="S10" s="34" t="str">
        <v/>
      </c>
      <c r="T10" s="34" t="str">
        <v/>
      </c>
      <c r="U10" s="34" t="str">
        <v>SW</v>
      </c>
      <c r="V10" s="34" t="str">
        <v/>
      </c>
      <c r="W10" s="34" t="str">
        <v>-</v>
      </c>
      <c r="X10" s="34" t="str">
        <v>DCS</v>
      </c>
      <c r="Y10" s="34" t="str">
        <v>-</v>
      </c>
      <c r="Z10" s="34" t="str">
        <v>No</v>
      </c>
      <c r="AA10" s="34" t="str">
        <v>AUX</v>
      </c>
      <c r="AB10" s="34" t="str">
        <v/>
      </c>
    </row>
    <row r="11" spans="1:28" ht="72">
      <c r="A11" s="34" t="str">
        <v>CA-741768-001</v>
      </c>
      <c r="B11" s="34" t="str">
        <v>631-HS   -3716D</v>
      </c>
      <c r="C11" s="34" t="str">
        <v>631-M-3716</v>
      </c>
      <c r="D11" s="34" t="str">
        <v>MCC</v>
      </c>
      <c r="E11" s="34" t="str">
        <v>DCS HAND SWITCH START</v>
      </c>
      <c r="F11" s="34" t="str">
        <v>631-G-0262A POTABLE WTR PMP START</v>
      </c>
      <c r="G11" s="34" t="str">
        <v/>
      </c>
      <c r="H11" s="34" t="str">
        <v/>
      </c>
      <c r="I11" s="34" t="str">
        <v/>
      </c>
      <c r="J11" s="34" t="str">
        <v/>
      </c>
      <c r="K11" s="34" t="str">
        <v/>
      </c>
      <c r="L11" s="34" t="str">
        <v/>
      </c>
      <c r="M11" s="34" t="str">
        <v/>
      </c>
      <c r="N11" s="34" t="str">
        <v/>
      </c>
      <c r="O11" s="34" t="str">
        <v/>
      </c>
      <c r="P11" s="34" t="str">
        <v/>
      </c>
      <c r="Q11" s="34" t="str">
        <v/>
      </c>
      <c r="R11" s="34" t="str">
        <v/>
      </c>
      <c r="S11" s="34" t="str">
        <v/>
      </c>
      <c r="T11" s="34" t="str">
        <v/>
      </c>
      <c r="U11" s="34" t="str">
        <v>DO</v>
      </c>
      <c r="V11" s="34" t="str">
        <v>631-DCS402</v>
      </c>
      <c r="W11" s="34" t="str">
        <v>24VDC</v>
      </c>
      <c r="X11" s="34" t="str">
        <v>DCS</v>
      </c>
      <c r="Y11" s="34" t="str">
        <v>C</v>
      </c>
      <c r="Z11" s="34" t="str">
        <v>No</v>
      </c>
      <c r="AA11" s="34" t="str">
        <v>AUX</v>
      </c>
      <c r="AB11" s="34" t="str">
        <v/>
      </c>
    </row>
    <row r="12" spans="1:28" ht="60">
      <c r="A12" s="34" t="str">
        <v>CA-741768-001</v>
      </c>
      <c r="B12" s="34" t="str">
        <v>631-HS   -3716E</v>
      </c>
      <c r="C12" s="34" t="str">
        <v>631-M-3716</v>
      </c>
      <c r="D12" s="34" t="str">
        <v>MCC</v>
      </c>
      <c r="E12" s="34" t="str">
        <v>DCS HAND SWITCH STOP</v>
      </c>
      <c r="F12" s="34" t="str">
        <v>631-G-0262A POTABLE WTR PMP STP</v>
      </c>
      <c r="G12" s="34" t="str">
        <v/>
      </c>
      <c r="H12" s="34" t="str">
        <v/>
      </c>
      <c r="I12" s="34" t="str">
        <v/>
      </c>
      <c r="J12" s="34" t="str">
        <v/>
      </c>
      <c r="K12" s="34" t="str">
        <v/>
      </c>
      <c r="L12" s="34" t="str">
        <v/>
      </c>
      <c r="M12" s="34" t="str">
        <v/>
      </c>
      <c r="N12" s="34" t="str">
        <v/>
      </c>
      <c r="O12" s="34" t="str">
        <v/>
      </c>
      <c r="P12" s="34" t="str">
        <v/>
      </c>
      <c r="Q12" s="34" t="str">
        <v/>
      </c>
      <c r="R12" s="34" t="str">
        <v/>
      </c>
      <c r="S12" s="34" t="str">
        <v/>
      </c>
      <c r="T12" s="34" t="str">
        <v/>
      </c>
      <c r="U12" s="34" t="str">
        <v>DO</v>
      </c>
      <c r="V12" s="34" t="str">
        <v>631-DCS402</v>
      </c>
      <c r="W12" s="34" t="str">
        <v>24VDC</v>
      </c>
      <c r="X12" s="34" t="str">
        <v>DCS</v>
      </c>
      <c r="Y12" s="34" t="str">
        <v>C</v>
      </c>
      <c r="Z12" s="34" t="str">
        <v>No</v>
      </c>
      <c r="AA12" s="34" t="str">
        <v>AUX</v>
      </c>
      <c r="AB12" s="34" t="str">
        <v/>
      </c>
    </row>
    <row r="13" spans="1:28" ht="60">
      <c r="A13" s="34" t="str">
        <v>CA-741768-001</v>
      </c>
      <c r="B13" s="34" t="str">
        <v>631-XA   -3716A</v>
      </c>
      <c r="C13" s="34" t="str">
        <v>631-M-3716</v>
      </c>
      <c r="D13" s="34" t="str">
        <v>MCC</v>
      </c>
      <c r="E13" s="34" t="str">
        <v>FAULT ALARM/TRIP INDICATION</v>
      </c>
      <c r="F13" s="34" t="str">
        <v>631-G-0262A POTABLE WTR PMP FLT</v>
      </c>
      <c r="G13" s="34" t="str">
        <v/>
      </c>
      <c r="H13" s="34" t="str">
        <v/>
      </c>
      <c r="I13" s="34" t="str">
        <v/>
      </c>
      <c r="J13" s="34" t="str">
        <v/>
      </c>
      <c r="K13" s="34" t="str">
        <v/>
      </c>
      <c r="L13" s="34" t="str">
        <v/>
      </c>
      <c r="M13" s="34" t="str">
        <v/>
      </c>
      <c r="N13" s="34" t="str">
        <v/>
      </c>
      <c r="O13" s="34" t="str">
        <v/>
      </c>
      <c r="P13" s="34" t="str">
        <v/>
      </c>
      <c r="Q13" s="34" t="str">
        <v/>
      </c>
      <c r="R13" s="34" t="str">
        <v/>
      </c>
      <c r="S13" s="34" t="str">
        <v/>
      </c>
      <c r="T13" s="34" t="str">
        <v/>
      </c>
      <c r="U13" s="34" t="str">
        <v>SID</v>
      </c>
      <c r="V13" s="34" t="str">
        <v/>
      </c>
      <c r="W13" s="34" t="str">
        <v>SERIAL</v>
      </c>
      <c r="X13" s="34" t="str">
        <v>DCS</v>
      </c>
      <c r="Y13" s="34" t="str">
        <v>M</v>
      </c>
      <c r="Z13" s="34" t="str">
        <v>No</v>
      </c>
      <c r="AA13" s="34" t="str">
        <v>AUX</v>
      </c>
      <c r="AB13" s="34" t="str">
        <v/>
      </c>
    </row>
    <row r="14" spans="1:28" ht="60">
      <c r="A14" s="34" t="str">
        <v>CA-741768-001</v>
      </c>
      <c r="B14" s="34" t="str">
        <v>631-XA   -3716B</v>
      </c>
      <c r="C14" s="34" t="str">
        <v>631-M-3716</v>
      </c>
      <c r="D14" s="34" t="str">
        <v>MCC</v>
      </c>
      <c r="E14" s="34" t="str">
        <v>FAULT ALARM/TRIP INDICATION</v>
      </c>
      <c r="F14" s="34" t="str">
        <v>631-G-0262A POTABLE WTR PMP TRP</v>
      </c>
      <c r="G14" s="34" t="str">
        <v/>
      </c>
      <c r="H14" s="34" t="str">
        <v/>
      </c>
      <c r="I14" s="34" t="str">
        <v/>
      </c>
      <c r="J14" s="34" t="str">
        <v/>
      </c>
      <c r="K14" s="34" t="str">
        <v/>
      </c>
      <c r="L14" s="34" t="str">
        <v/>
      </c>
      <c r="M14" s="34" t="str">
        <v/>
      </c>
      <c r="N14" s="34" t="str">
        <v/>
      </c>
      <c r="O14" s="34" t="str">
        <v/>
      </c>
      <c r="P14" s="34" t="str">
        <v/>
      </c>
      <c r="Q14" s="34" t="str">
        <v/>
      </c>
      <c r="R14" s="34" t="str">
        <v/>
      </c>
      <c r="S14" s="34" t="str">
        <v/>
      </c>
      <c r="T14" s="34" t="str">
        <v/>
      </c>
      <c r="U14" s="34" t="str">
        <v>SID</v>
      </c>
      <c r="V14" s="34" t="str">
        <v/>
      </c>
      <c r="W14" s="34" t="str">
        <v>SERIAL</v>
      </c>
      <c r="X14" s="34" t="str">
        <v>DCS</v>
      </c>
      <c r="Y14" s="34" t="str">
        <v>M</v>
      </c>
      <c r="Z14" s="34" t="str">
        <v>No</v>
      </c>
      <c r="AA14" s="34" t="str">
        <v>AUX</v>
      </c>
      <c r="AB14" s="34" t="str">
        <v/>
      </c>
    </row>
    <row r="15" spans="1:28" ht="96">
      <c r="A15" s="34" t="str">
        <v>CA-741768-001</v>
      </c>
      <c r="B15" s="34" t="str">
        <v>631-XI   -3716</v>
      </c>
      <c r="C15" s="34" t="str">
        <v>631-M-3716</v>
      </c>
      <c r="D15" s="34" t="str">
        <v>MCC</v>
      </c>
      <c r="E15" s="34" t="str">
        <v>DCS INDICATION AUTO POSITION</v>
      </c>
      <c r="F15" s="34" t="str">
        <v>631-G-0262A POTABLE WTR PMP AUTO POSITION</v>
      </c>
      <c r="G15" s="34" t="str">
        <v/>
      </c>
      <c r="H15" s="34" t="str">
        <v/>
      </c>
      <c r="I15" s="34" t="str">
        <v/>
      </c>
      <c r="J15" s="34" t="str">
        <v/>
      </c>
      <c r="K15" s="34" t="str">
        <v/>
      </c>
      <c r="L15" s="34" t="str">
        <v/>
      </c>
      <c r="M15" s="34" t="str">
        <v/>
      </c>
      <c r="N15" s="34" t="str">
        <v/>
      </c>
      <c r="O15" s="34" t="str">
        <v/>
      </c>
      <c r="P15" s="34" t="str">
        <v/>
      </c>
      <c r="Q15" s="34" t="str">
        <v/>
      </c>
      <c r="R15" s="34" t="str">
        <v/>
      </c>
      <c r="S15" s="34" t="str">
        <v/>
      </c>
      <c r="T15" s="34" t="str">
        <v/>
      </c>
      <c r="U15" s="34" t="str">
        <v>SID</v>
      </c>
      <c r="V15" s="34" t="str">
        <v/>
      </c>
      <c r="W15" s="34" t="str">
        <v>SERIAL</v>
      </c>
      <c r="X15" s="34" t="str">
        <v>DCS</v>
      </c>
      <c r="Y15" s="34" t="str">
        <v>M</v>
      </c>
      <c r="Z15" s="34" t="str">
        <v>No</v>
      </c>
      <c r="AA15" s="34" t="str">
        <v>AUX</v>
      </c>
      <c r="AB15" s="34" t="str">
        <v/>
      </c>
    </row>
    <row r="16" spans="1:28" ht="72">
      <c r="A16" s="34" t="str">
        <v>CA-741768-001</v>
      </c>
      <c r="B16" s="34" t="str">
        <v>631-HS   -3717D</v>
      </c>
      <c r="C16" s="34" t="str">
        <v>631-M-3717</v>
      </c>
      <c r="D16" s="34" t="str">
        <v>MCC</v>
      </c>
      <c r="E16" s="34" t="str">
        <v>DCS HAND SWITCH START</v>
      </c>
      <c r="F16" s="34" t="str">
        <v>631-G-0262B POTABLE WTR PMP START</v>
      </c>
      <c r="G16" s="34" t="str">
        <v/>
      </c>
      <c r="H16" s="34" t="str">
        <v/>
      </c>
      <c r="I16" s="34" t="str">
        <v/>
      </c>
      <c r="J16" s="34" t="str">
        <v/>
      </c>
      <c r="K16" s="34" t="str">
        <v/>
      </c>
      <c r="L16" s="34" t="str">
        <v/>
      </c>
      <c r="M16" s="34" t="str">
        <v/>
      </c>
      <c r="N16" s="34" t="str">
        <v/>
      </c>
      <c r="O16" s="34" t="str">
        <v/>
      </c>
      <c r="P16" s="34" t="str">
        <v/>
      </c>
      <c r="Q16" s="34" t="str">
        <v/>
      </c>
      <c r="R16" s="34" t="str">
        <v/>
      </c>
      <c r="S16" s="34" t="str">
        <v/>
      </c>
      <c r="T16" s="34" t="str">
        <v/>
      </c>
      <c r="U16" s="34" t="str">
        <v>DO</v>
      </c>
      <c r="V16" s="34" t="str">
        <v>631-DCS402</v>
      </c>
      <c r="W16" s="34" t="str">
        <v>24VDC</v>
      </c>
      <c r="X16" s="34" t="str">
        <v>DCS</v>
      </c>
      <c r="Y16" s="34" t="str">
        <v>C</v>
      </c>
      <c r="Z16" s="34" t="str">
        <v>No</v>
      </c>
      <c r="AA16" s="34" t="str">
        <v>AUX</v>
      </c>
      <c r="AB16" s="34" t="str">
        <v/>
      </c>
    </row>
    <row r="17" spans="1:28" ht="60">
      <c r="A17" s="34" t="str">
        <v>CA-741768-001</v>
      </c>
      <c r="B17" s="34" t="str">
        <v>631-HS   -3717E</v>
      </c>
      <c r="C17" s="34" t="str">
        <v>631-M-3717</v>
      </c>
      <c r="D17" s="34" t="str">
        <v>MCC</v>
      </c>
      <c r="E17" s="34" t="str">
        <v>DCS HAND SWITCH STOP</v>
      </c>
      <c r="F17" s="34" t="str">
        <v>631-G-0262B POTABLE WTR PMP STP</v>
      </c>
      <c r="G17" s="34" t="str">
        <v/>
      </c>
      <c r="H17" s="34" t="str">
        <v/>
      </c>
      <c r="I17" s="34" t="str">
        <v/>
      </c>
      <c r="J17" s="34" t="str">
        <v/>
      </c>
      <c r="K17" s="34" t="str">
        <v/>
      </c>
      <c r="L17" s="34" t="str">
        <v/>
      </c>
      <c r="M17" s="34" t="str">
        <v/>
      </c>
      <c r="N17" s="34" t="str">
        <v/>
      </c>
      <c r="O17" s="34" t="str">
        <v/>
      </c>
      <c r="P17" s="34" t="str">
        <v/>
      </c>
      <c r="Q17" s="34" t="str">
        <v/>
      </c>
      <c r="R17" s="34" t="str">
        <v/>
      </c>
      <c r="S17" s="34" t="str">
        <v/>
      </c>
      <c r="T17" s="34" t="str">
        <v/>
      </c>
      <c r="U17" s="34" t="str">
        <v>DO</v>
      </c>
      <c r="V17" s="34" t="str">
        <v>631-DCS402</v>
      </c>
      <c r="W17" s="34" t="str">
        <v>24VDC</v>
      </c>
      <c r="X17" s="34" t="str">
        <v>DCS</v>
      </c>
      <c r="Y17" s="34" t="str">
        <v>C</v>
      </c>
      <c r="Z17" s="34" t="str">
        <v>No</v>
      </c>
      <c r="AA17" s="34" t="str">
        <v>AUX</v>
      </c>
      <c r="AB17" s="34" t="str">
        <v/>
      </c>
    </row>
    <row r="18" spans="1:28" ht="60">
      <c r="A18" s="34" t="str">
        <v>CA-741768-001</v>
      </c>
      <c r="B18" s="34" t="str">
        <v>631-XA   -3717A</v>
      </c>
      <c r="C18" s="34" t="str">
        <v>631-M-3717</v>
      </c>
      <c r="D18" s="34" t="str">
        <v>MCC</v>
      </c>
      <c r="E18" s="34" t="str">
        <v>FAULT ALARM/TRIP INDICATION</v>
      </c>
      <c r="F18" s="34" t="str">
        <v>631-G-0262B POTABLE WTR PMP FLT</v>
      </c>
      <c r="G18" s="34" t="str">
        <v/>
      </c>
      <c r="H18" s="34" t="str">
        <v/>
      </c>
      <c r="I18" s="34" t="str">
        <v/>
      </c>
      <c r="J18" s="34" t="str">
        <v/>
      </c>
      <c r="K18" s="34" t="str">
        <v/>
      </c>
      <c r="L18" s="34" t="str">
        <v/>
      </c>
      <c r="M18" s="34" t="str">
        <v/>
      </c>
      <c r="N18" s="34" t="str">
        <v/>
      </c>
      <c r="O18" s="34" t="str">
        <v/>
      </c>
      <c r="P18" s="34" t="str">
        <v/>
      </c>
      <c r="Q18" s="34" t="str">
        <v/>
      </c>
      <c r="R18" s="34" t="str">
        <v/>
      </c>
      <c r="S18" s="34" t="str">
        <v/>
      </c>
      <c r="T18" s="34" t="str">
        <v/>
      </c>
      <c r="U18" s="34" t="str">
        <v>SID</v>
      </c>
      <c r="V18" s="34" t="str">
        <v/>
      </c>
      <c r="W18" s="34" t="str">
        <v>SERIAL</v>
      </c>
      <c r="X18" s="34" t="str">
        <v>DCS</v>
      </c>
      <c r="Y18" s="34" t="str">
        <v>M</v>
      </c>
      <c r="Z18" s="34" t="str">
        <v>No</v>
      </c>
      <c r="AA18" s="34" t="str">
        <v>AUX</v>
      </c>
      <c r="AB18" s="34" t="str">
        <v/>
      </c>
    </row>
    <row r="19" spans="1:28" ht="60">
      <c r="A19" s="34" t="str">
        <v>CA-741768-001</v>
      </c>
      <c r="B19" s="34" t="str">
        <v>631-XA   -3717B</v>
      </c>
      <c r="C19" s="34" t="str">
        <v>631-M-3717</v>
      </c>
      <c r="D19" s="34" t="str">
        <v>MCC</v>
      </c>
      <c r="E19" s="34" t="str">
        <v>FAULT ALARM/TRIP INDICATION</v>
      </c>
      <c r="F19" s="34" t="str">
        <v>631-G-0262B POTABLE WTR PMP TRP</v>
      </c>
      <c r="G19" s="34" t="str">
        <v/>
      </c>
      <c r="H19" s="34" t="str">
        <v/>
      </c>
      <c r="I19" s="34" t="str">
        <v/>
      </c>
      <c r="J19" s="34" t="str">
        <v/>
      </c>
      <c r="K19" s="34" t="str">
        <v/>
      </c>
      <c r="L19" s="34" t="str">
        <v/>
      </c>
      <c r="M19" s="34" t="str">
        <v/>
      </c>
      <c r="N19" s="34" t="str">
        <v/>
      </c>
      <c r="O19" s="34" t="str">
        <v/>
      </c>
      <c r="P19" s="34" t="str">
        <v/>
      </c>
      <c r="Q19" s="34" t="str">
        <v/>
      </c>
      <c r="R19" s="34" t="str">
        <v/>
      </c>
      <c r="S19" s="34" t="str">
        <v/>
      </c>
      <c r="T19" s="34" t="str">
        <v/>
      </c>
      <c r="U19" s="34" t="str">
        <v>SID</v>
      </c>
      <c r="V19" s="34" t="str">
        <v/>
      </c>
      <c r="W19" s="34" t="str">
        <v>SERIAL</v>
      </c>
      <c r="X19" s="34" t="str">
        <v>DCS</v>
      </c>
      <c r="Y19" s="34" t="str">
        <v>M</v>
      </c>
      <c r="Z19" s="34" t="str">
        <v>No</v>
      </c>
      <c r="AA19" s="34" t="str">
        <v>AUX</v>
      </c>
      <c r="AB19" s="34" t="str">
        <v/>
      </c>
    </row>
    <row r="20" spans="1:28" ht="96">
      <c r="A20" s="34" t="str">
        <v>CA-741768-001</v>
      </c>
      <c r="B20" s="34" t="str">
        <v>631-XI   -3717</v>
      </c>
      <c r="C20" s="34" t="str">
        <v>631-M-3717</v>
      </c>
      <c r="D20" s="34" t="str">
        <v>MCC</v>
      </c>
      <c r="E20" s="34" t="str">
        <v>DCS INDICATION AUTO POSITION</v>
      </c>
      <c r="F20" s="34" t="str">
        <v>631-G-0262B POTABLE WTR PMP AUTO POSITION</v>
      </c>
      <c r="G20" s="34" t="str">
        <v/>
      </c>
      <c r="H20" s="34" t="str">
        <v/>
      </c>
      <c r="I20" s="34" t="str">
        <v/>
      </c>
      <c r="J20" s="34" t="str">
        <v/>
      </c>
      <c r="K20" s="34" t="str">
        <v/>
      </c>
      <c r="L20" s="34" t="str">
        <v/>
      </c>
      <c r="M20" s="34" t="str">
        <v/>
      </c>
      <c r="N20" s="34" t="str">
        <v/>
      </c>
      <c r="O20" s="34" t="str">
        <v/>
      </c>
      <c r="P20" s="34" t="str">
        <v/>
      </c>
      <c r="Q20" s="34" t="str">
        <v/>
      </c>
      <c r="R20" s="34" t="str">
        <v/>
      </c>
      <c r="S20" s="34" t="str">
        <v/>
      </c>
      <c r="T20" s="34" t="str">
        <v/>
      </c>
      <c r="U20" s="34" t="str">
        <v>SID</v>
      </c>
      <c r="V20" s="34" t="str">
        <v/>
      </c>
      <c r="W20" s="34" t="str">
        <v>SERIAL</v>
      </c>
      <c r="X20" s="34" t="str">
        <v>DCS</v>
      </c>
      <c r="Y20" s="34" t="str">
        <v>M</v>
      </c>
      <c r="Z20" s="34" t="str">
        <v>No</v>
      </c>
      <c r="AA20" s="34" t="str">
        <v>AUX</v>
      </c>
      <c r="AB20" s="34" t="str">
        <v/>
      </c>
    </row>
    <row r="21" spans="1:28" ht="84">
      <c r="A21" s="34" t="str">
        <v>CA-741768-001</v>
      </c>
      <c r="B21" s="34" t="str">
        <v>631-PIT  -3714</v>
      </c>
      <c r="C21" s="34" t="str">
        <v>631-P-3714</v>
      </c>
      <c r="D21" s="34" t="str">
        <v>FIELD</v>
      </c>
      <c r="E21" s="34" t="str">
        <v>PRESSURE INDICATING TRANSMITTER</v>
      </c>
      <c r="F21" s="34" t="str">
        <v>631-G-0262A POTABLE WTR PMP DISCH PR</v>
      </c>
      <c r="G21" s="34" t="str">
        <v>0</v>
      </c>
      <c r="H21" s="34" t="str">
        <v>120</v>
      </c>
      <c r="I21" s="34" t="str">
        <v>psiG</v>
      </c>
      <c r="J21" s="34" t="str">
        <v>0</v>
      </c>
      <c r="K21" s="34" t="str">
        <v>120</v>
      </c>
      <c r="L21" s="34" t="str">
        <v>psiG</v>
      </c>
      <c r="M21" s="34" t="str">
        <v/>
      </c>
      <c r="N21" s="34" t="str">
        <v/>
      </c>
      <c r="O21" s="34" t="str">
        <v/>
      </c>
      <c r="P21" s="34" t="str">
        <v/>
      </c>
      <c r="Q21" s="34" t="str">
        <v/>
      </c>
      <c r="R21" s="34" t="str">
        <v/>
      </c>
      <c r="S21" s="34" t="str">
        <v/>
      </c>
      <c r="T21" s="34" t="str">
        <v/>
      </c>
      <c r="U21" s="34" t="str">
        <v>HART AI</v>
      </c>
      <c r="V21" s="34" t="str">
        <v>631-DCS402</v>
      </c>
      <c r="W21" s="34" t="str">
        <v>4-20mA</v>
      </c>
      <c r="X21" s="34" t="str">
        <v>DCS</v>
      </c>
      <c r="Y21" s="34" t="str">
        <v>H</v>
      </c>
      <c r="Z21" s="34" t="str">
        <v>No</v>
      </c>
      <c r="AA21" s="34" t="str">
        <v>AUX</v>
      </c>
      <c r="AB21" s="34" t="str">
        <v/>
      </c>
    </row>
    <row r="22" spans="1:28" ht="84">
      <c r="A22" s="34" t="str">
        <v>CA-741768-001</v>
      </c>
      <c r="B22" s="34" t="str">
        <v>631-PI   -3714</v>
      </c>
      <c r="C22" s="34" t="str">
        <v>631-P-3714</v>
      </c>
      <c r="D22" s="34" t="str">
        <v>DCS</v>
      </c>
      <c r="E22" s="34" t="str">
        <v>DCS PRESSURE INDICATION</v>
      </c>
      <c r="F22" s="34" t="str">
        <v>631-G-0262A POTABLE WTR PMP DISCH PR</v>
      </c>
      <c r="G22" s="34" t="str">
        <v/>
      </c>
      <c r="H22" s="34" t="str">
        <v/>
      </c>
      <c r="I22" s="34" t="str">
        <v/>
      </c>
      <c r="J22" s="34" t="str">
        <v/>
      </c>
      <c r="K22" s="34" t="str">
        <v/>
      </c>
      <c r="L22" s="34" t="str">
        <v/>
      </c>
      <c r="M22" s="34" t="str">
        <v/>
      </c>
      <c r="N22" s="34" t="str">
        <v/>
      </c>
      <c r="O22" s="34" t="str">
        <v/>
      </c>
      <c r="P22" s="34" t="str">
        <v/>
      </c>
      <c r="Q22" s="34" t="str">
        <v/>
      </c>
      <c r="R22" s="34" t="str">
        <v/>
      </c>
      <c r="S22" s="34" t="str">
        <v/>
      </c>
      <c r="T22" s="34" t="str">
        <v/>
      </c>
      <c r="U22" s="34" t="str">
        <v>SW</v>
      </c>
      <c r="V22" s="34" t="str">
        <v/>
      </c>
      <c r="W22" s="34" t="str">
        <v>-</v>
      </c>
      <c r="X22" s="34" t="str">
        <v>DCS</v>
      </c>
      <c r="Y22" s="34" t="str">
        <v>-</v>
      </c>
      <c r="Z22" s="34" t="str">
        <v>No</v>
      </c>
      <c r="AA22" s="34" t="str">
        <v>AUX</v>
      </c>
      <c r="AB22" s="34" t="str">
        <v/>
      </c>
    </row>
    <row r="23" spans="1:28" ht="84">
      <c r="A23" s="34" t="str">
        <v>CA-741768-001</v>
      </c>
      <c r="B23" s="34" t="str">
        <v>631-PAL  -3714</v>
      </c>
      <c r="C23" s="34" t="str">
        <v>631-P-3714</v>
      </c>
      <c r="D23" s="34" t="str">
        <v>DCS</v>
      </c>
      <c r="E23" s="34" t="str">
        <v>PRESSURE ALARM LOW</v>
      </c>
      <c r="F23" s="34" t="str">
        <v>631-G-0262A POTABLE WTR PMP DISCH PR LO</v>
      </c>
      <c r="G23" s="34" t="str">
        <v/>
      </c>
      <c r="H23" s="34" t="str">
        <v/>
      </c>
      <c r="I23" s="34" t="str">
        <v/>
      </c>
      <c r="J23" s="34" t="str">
        <v/>
      </c>
      <c r="K23" s="34" t="str">
        <v/>
      </c>
      <c r="L23" s="34" t="str">
        <v/>
      </c>
      <c r="M23" s="34" t="str">
        <v/>
      </c>
      <c r="N23" s="34" t="str">
        <v/>
      </c>
      <c r="O23" s="34" t="str">
        <v/>
      </c>
      <c r="P23" s="34" t="str">
        <v>104</v>
      </c>
      <c r="Q23" s="34" t="str">
        <v/>
      </c>
      <c r="R23" s="34" t="str">
        <v/>
      </c>
      <c r="S23" s="34" t="str">
        <v>psiG</v>
      </c>
      <c r="T23" s="34" t="str">
        <v/>
      </c>
      <c r="U23" s="34" t="str">
        <v>SW</v>
      </c>
      <c r="V23" s="34" t="str">
        <v/>
      </c>
      <c r="W23" s="34" t="str">
        <v>-</v>
      </c>
      <c r="X23" s="34" t="str">
        <v>DCS</v>
      </c>
      <c r="Y23" s="34" t="str">
        <v>-</v>
      </c>
      <c r="Z23" s="34" t="str">
        <v>No</v>
      </c>
      <c r="AA23" s="34" t="str">
        <v>AUX</v>
      </c>
      <c r="AB23" s="34" t="str">
        <v/>
      </c>
    </row>
    <row r="24" spans="1:28" ht="84">
      <c r="A24" s="34" t="str">
        <v>CA-741768-001</v>
      </c>
      <c r="B24" s="34" t="str">
        <v>631-PIT  -3715</v>
      </c>
      <c r="C24" s="34" t="str">
        <v>631-P-3715</v>
      </c>
      <c r="D24" s="34" t="str">
        <v>FIELD</v>
      </c>
      <c r="E24" s="34" t="str">
        <v>PRESSURE INDICATING TRANSMITTER</v>
      </c>
      <c r="F24" s="34" t="str">
        <v>631-G-0262B POTABLE WTR PMP DISCH PR</v>
      </c>
      <c r="G24" s="34" t="str">
        <v>0</v>
      </c>
      <c r="H24" s="34" t="str">
        <v>120</v>
      </c>
      <c r="I24" s="34" t="str">
        <v>psiG</v>
      </c>
      <c r="J24" s="34" t="str">
        <v>0</v>
      </c>
      <c r="K24" s="34" t="str">
        <v>120</v>
      </c>
      <c r="L24" s="34" t="str">
        <v>psiG</v>
      </c>
      <c r="M24" s="34" t="str">
        <v/>
      </c>
      <c r="N24" s="34" t="str">
        <v/>
      </c>
      <c r="O24" s="34" t="str">
        <v/>
      </c>
      <c r="P24" s="34" t="str">
        <v/>
      </c>
      <c r="Q24" s="34" t="str">
        <v/>
      </c>
      <c r="R24" s="34" t="str">
        <v/>
      </c>
      <c r="S24" s="34" t="str">
        <v/>
      </c>
      <c r="T24" s="34" t="str">
        <v/>
      </c>
      <c r="U24" s="34" t="str">
        <v>HART AI</v>
      </c>
      <c r="V24" s="34" t="str">
        <v>631-DCS402</v>
      </c>
      <c r="W24" s="34" t="str">
        <v>4-20mA</v>
      </c>
      <c r="X24" s="34" t="str">
        <v>DCS</v>
      </c>
      <c r="Y24" s="34" t="str">
        <v>H</v>
      </c>
      <c r="Z24" s="34" t="str">
        <v>No</v>
      </c>
      <c r="AA24" s="34" t="str">
        <v>AUX</v>
      </c>
      <c r="AB24" s="34" t="str">
        <v/>
      </c>
    </row>
    <row r="25" spans="1:28" ht="84">
      <c r="A25" s="34" t="str">
        <v>CA-741768-001</v>
      </c>
      <c r="B25" s="34" t="str">
        <v>631-PI   -3715</v>
      </c>
      <c r="C25" s="34" t="str">
        <v>631-P-3715</v>
      </c>
      <c r="D25" s="34" t="str">
        <v>DCS</v>
      </c>
      <c r="E25" s="34" t="str">
        <v>DCS PRESSURE INDICATION</v>
      </c>
      <c r="F25" s="34" t="str">
        <v>631-G-0262B POTABLE WTR PMP DISCH PR</v>
      </c>
      <c r="G25" s="34" t="str">
        <v/>
      </c>
      <c r="H25" s="34" t="str">
        <v/>
      </c>
      <c r="I25" s="34" t="str">
        <v/>
      </c>
      <c r="J25" s="34" t="str">
        <v/>
      </c>
      <c r="K25" s="34" t="str">
        <v/>
      </c>
      <c r="L25" s="34" t="str">
        <v/>
      </c>
      <c r="M25" s="34" t="str">
        <v/>
      </c>
      <c r="N25" s="34" t="str">
        <v/>
      </c>
      <c r="O25" s="34" t="str">
        <v/>
      </c>
      <c r="P25" s="34" t="str">
        <v/>
      </c>
      <c r="Q25" s="34" t="str">
        <v/>
      </c>
      <c r="R25" s="34" t="str">
        <v/>
      </c>
      <c r="S25" s="34" t="str">
        <v/>
      </c>
      <c r="T25" s="34" t="str">
        <v/>
      </c>
      <c r="U25" s="34" t="str">
        <v>SW</v>
      </c>
      <c r="V25" s="34" t="str">
        <v/>
      </c>
      <c r="W25" s="34" t="str">
        <v>-</v>
      </c>
      <c r="X25" s="34" t="str">
        <v>DCS</v>
      </c>
      <c r="Y25" s="34" t="str">
        <v>-</v>
      </c>
      <c r="Z25" s="34" t="str">
        <v>No</v>
      </c>
      <c r="AA25" s="34" t="str">
        <v>AUX</v>
      </c>
      <c r="AB25" s="34" t="str">
        <v/>
      </c>
    </row>
    <row r="26" spans="1:28" ht="84">
      <c r="A26" s="34" t="str">
        <v>CA-741768-001</v>
      </c>
      <c r="B26" s="34" t="str">
        <v>631-PAL  -3715</v>
      </c>
      <c r="C26" s="34" t="str">
        <v>631-P-3715</v>
      </c>
      <c r="D26" s="34" t="str">
        <v>DCS</v>
      </c>
      <c r="E26" s="34" t="str">
        <v>PRESSURE ALARM LOW</v>
      </c>
      <c r="F26" s="34" t="str">
        <v>631-G-0262B POTABLE WTR PMP DISCH PR LO</v>
      </c>
      <c r="G26" s="34" t="str">
        <v/>
      </c>
      <c r="H26" s="34" t="str">
        <v/>
      </c>
      <c r="I26" s="34" t="str">
        <v/>
      </c>
      <c r="J26" s="34" t="str">
        <v/>
      </c>
      <c r="K26" s="34" t="str">
        <v/>
      </c>
      <c r="L26" s="34" t="str">
        <v/>
      </c>
      <c r="M26" s="34" t="str">
        <v/>
      </c>
      <c r="N26" s="34" t="str">
        <v/>
      </c>
      <c r="O26" s="34" t="str">
        <v/>
      </c>
      <c r="P26" s="34" t="str">
        <v>104</v>
      </c>
      <c r="Q26" s="34" t="str">
        <v/>
      </c>
      <c r="R26" s="34" t="str">
        <v/>
      </c>
      <c r="S26" s="34" t="str">
        <v>psiG</v>
      </c>
      <c r="T26" s="34" t="str">
        <v/>
      </c>
      <c r="U26" s="34" t="str">
        <v>SW</v>
      </c>
      <c r="V26" s="34" t="str">
        <v/>
      </c>
      <c r="W26" s="34" t="str">
        <v>-</v>
      </c>
      <c r="X26" s="34" t="str">
        <v>DCS</v>
      </c>
      <c r="Y26" s="34" t="str">
        <v>-</v>
      </c>
      <c r="Z26" s="34" t="str">
        <v>No</v>
      </c>
      <c r="AA26" s="34" t="str">
        <v>AUX</v>
      </c>
      <c r="AB26" s="34" t="str">
        <v/>
      </c>
    </row>
    <row r="27" spans="1:28" ht="96">
      <c r="A27" s="34" t="str">
        <v>CA-741768-001</v>
      </c>
      <c r="B27" s="34" t="str">
        <v>631-TI   -3713</v>
      </c>
      <c r="C27" s="34" t="str">
        <v>631-T-3713</v>
      </c>
      <c r="D27" s="34" t="str">
        <v>DCS</v>
      </c>
      <c r="E27" s="34" t="str">
        <v>DCS TEMPERATURE INDICATION</v>
      </c>
      <c r="F27" s="34" t="str">
        <v>631-G-0262A POTABLE WTR PMP THRUST BRNG TEMP</v>
      </c>
      <c r="G27" s="34" t="str">
        <v/>
      </c>
      <c r="H27" s="34" t="str">
        <v/>
      </c>
      <c r="I27" s="34" t="str">
        <v/>
      </c>
      <c r="J27" s="34" t="str">
        <v/>
      </c>
      <c r="K27" s="34" t="str">
        <v/>
      </c>
      <c r="L27" s="34" t="str">
        <v/>
      </c>
      <c r="M27" s="34" t="str">
        <v/>
      </c>
      <c r="N27" s="34" t="str">
        <v/>
      </c>
      <c r="O27" s="34" t="str">
        <v/>
      </c>
      <c r="P27" s="34" t="str">
        <v/>
      </c>
      <c r="Q27" s="34" t="str">
        <v/>
      </c>
      <c r="R27" s="34" t="str">
        <v/>
      </c>
      <c r="S27" s="34" t="str">
        <v/>
      </c>
      <c r="T27" s="34" t="str">
        <v/>
      </c>
      <c r="U27" s="34" t="str">
        <v>SW</v>
      </c>
      <c r="V27" s="34" t="str">
        <v/>
      </c>
      <c r="W27" s="34" t="str">
        <v>-</v>
      </c>
      <c r="X27" s="34" t="str">
        <v>DCS</v>
      </c>
      <c r="Y27" s="34" t="str">
        <v>-</v>
      </c>
      <c r="Z27" s="34" t="str">
        <v>No</v>
      </c>
      <c r="AA27" s="34" t="str">
        <v>AUX</v>
      </c>
      <c r="AB27" s="34" t="str">
        <v/>
      </c>
    </row>
    <row r="28" spans="1:28" ht="96">
      <c r="A28" s="34" t="str">
        <v>CA-741768-001</v>
      </c>
      <c r="B28" s="34" t="str">
        <v>631-TIT  -3713</v>
      </c>
      <c r="C28" s="34" t="str">
        <v>631-T-3713</v>
      </c>
      <c r="D28" s="34" t="str">
        <v>FIELD</v>
      </c>
      <c r="E28" s="34" t="str">
        <v>TEMPERATURE INDICATING TRANSMITTER</v>
      </c>
      <c r="F28" s="34" t="str">
        <v>631-G-0262A POTABLE WTR PMP THRUST BRNG TEMP</v>
      </c>
      <c r="G28" s="34">
        <v>0</v>
      </c>
      <c r="H28" s="34">
        <v>250</v>
      </c>
      <c r="I28" s="34" t="str">
        <v>°F</v>
      </c>
      <c r="J28" s="34">
        <v>0</v>
      </c>
      <c r="K28" s="34">
        <v>250</v>
      </c>
      <c r="L28" s="34" t="str">
        <v>°F</v>
      </c>
      <c r="M28" s="34" t="str">
        <v/>
      </c>
      <c r="N28" s="34" t="str">
        <v/>
      </c>
      <c r="O28" s="34" t="str">
        <v/>
      </c>
      <c r="P28" s="34" t="str">
        <v/>
      </c>
      <c r="Q28" s="34" t="str">
        <v/>
      </c>
      <c r="R28" s="34" t="str">
        <v/>
      </c>
      <c r="S28" s="34" t="str">
        <v/>
      </c>
      <c r="T28" s="34" t="str">
        <v/>
      </c>
      <c r="U28" s="34" t="str">
        <v>HART AI</v>
      </c>
      <c r="V28" s="34" t="str">
        <v>631-DCS402</v>
      </c>
      <c r="W28" s="34" t="str">
        <v>4-20mA</v>
      </c>
      <c r="X28" s="34" t="str">
        <v>DCS</v>
      </c>
      <c r="Y28" s="34" t="str">
        <v>H</v>
      </c>
      <c r="Z28" s="34" t="str">
        <v>No</v>
      </c>
      <c r="AA28" s="34" t="str">
        <v>AUX</v>
      </c>
      <c r="AB28" s="34" t="str">
        <v>Rev 00d</v>
      </c>
    </row>
    <row r="29" spans="1:28" ht="96">
      <c r="A29" s="34" t="str">
        <v>CA-741768-001</v>
      </c>
      <c r="B29" s="34" t="str">
        <v>631-TAH  -3713A</v>
      </c>
      <c r="C29" s="34" t="str">
        <v>631-T-3713</v>
      </c>
      <c r="D29" s="34" t="str">
        <v>DCS</v>
      </c>
      <c r="E29" s="34" t="str">
        <v>TEMPERATURE ALARM HIGH</v>
      </c>
      <c r="F29" s="34" t="str">
        <v>631-G-0262A POTABLE WTR PMP THRUST BRNG TEMP HI</v>
      </c>
      <c r="G29" s="34" t="str">
        <v/>
      </c>
      <c r="H29" s="34" t="str">
        <v/>
      </c>
      <c r="I29" s="34" t="str">
        <v/>
      </c>
      <c r="J29" s="34" t="str">
        <v/>
      </c>
      <c r="K29" s="34" t="str">
        <v/>
      </c>
      <c r="L29" s="34" t="str">
        <v/>
      </c>
      <c r="M29" s="34" t="str">
        <v>200</v>
      </c>
      <c r="N29" s="34" t="str">
        <v/>
      </c>
      <c r="O29" s="34" t="str">
        <v/>
      </c>
      <c r="P29" s="34" t="str">
        <v/>
      </c>
      <c r="Q29" s="34" t="str">
        <v/>
      </c>
      <c r="R29" s="34" t="str">
        <v/>
      </c>
      <c r="S29" s="34" t="str">
        <v>°F</v>
      </c>
      <c r="T29" s="34" t="str">
        <v/>
      </c>
      <c r="U29" s="34" t="str">
        <v>SW</v>
      </c>
      <c r="V29" s="34" t="str">
        <v/>
      </c>
      <c r="W29" s="34" t="str">
        <v>-</v>
      </c>
      <c r="X29" s="34" t="str">
        <v>DCS</v>
      </c>
      <c r="Y29" s="34" t="str">
        <v>-</v>
      </c>
      <c r="Z29" s="34" t="str">
        <v>No</v>
      </c>
      <c r="AA29" s="34" t="str">
        <v>AUX</v>
      </c>
      <c r="AB29" s="34" t="str">
        <v/>
      </c>
    </row>
    <row r="30" spans="1:28" ht="96">
      <c r="A30" s="34" t="str">
        <v>CA-741768-001</v>
      </c>
      <c r="B30" s="34" t="str">
        <v>631-TAH  -3713B</v>
      </c>
      <c r="C30" s="34" t="str">
        <v>631-T-3713</v>
      </c>
      <c r="D30" s="34" t="str">
        <v>DCS</v>
      </c>
      <c r="E30" s="34" t="str">
        <v>TEMPERATURE ALARM HIGH</v>
      </c>
      <c r="F30" s="34" t="str">
        <v>631-G-0262A POTABLE WTR PMP THRUST BRNG TEMP HI</v>
      </c>
      <c r="G30" s="34" t="str">
        <v/>
      </c>
      <c r="H30" s="34" t="str">
        <v/>
      </c>
      <c r="I30" s="34" t="str">
        <v/>
      </c>
      <c r="J30" s="34" t="str">
        <v/>
      </c>
      <c r="K30" s="34" t="str">
        <v/>
      </c>
      <c r="L30" s="34" t="str">
        <v/>
      </c>
      <c r="M30" s="34" t="str">
        <v>220</v>
      </c>
      <c r="N30" s="34" t="str">
        <v/>
      </c>
      <c r="O30" s="34" t="str">
        <v/>
      </c>
      <c r="P30" s="34" t="str">
        <v/>
      </c>
      <c r="Q30" s="34" t="str">
        <v/>
      </c>
      <c r="R30" s="34" t="str">
        <v/>
      </c>
      <c r="S30" s="34" t="str">
        <v>°F</v>
      </c>
      <c r="T30" s="34" t="str">
        <v/>
      </c>
      <c r="U30" s="34" t="str">
        <v>SW</v>
      </c>
      <c r="V30" s="34" t="str">
        <v/>
      </c>
      <c r="W30" s="34" t="str">
        <v>-</v>
      </c>
      <c r="X30" s="34" t="str">
        <v>DCS</v>
      </c>
      <c r="Y30" s="34" t="str">
        <v>-</v>
      </c>
      <c r="Z30" s="34" t="str">
        <v>No</v>
      </c>
      <c r="AA30" s="34" t="str">
        <v>AUX</v>
      </c>
      <c r="AB30" s="34" t="str">
        <v/>
      </c>
    </row>
    <row r="31" spans="1:28" ht="96">
      <c r="A31" s="34" t="str">
        <v>CA-741768-001</v>
      </c>
      <c r="B31" s="34" t="str">
        <v>631-TI   -3714</v>
      </c>
      <c r="C31" s="34" t="str">
        <v>631-T-3714</v>
      </c>
      <c r="D31" s="34" t="str">
        <v>DCS</v>
      </c>
      <c r="E31" s="34" t="str">
        <v>DCS TEMPERATURE INDICATION</v>
      </c>
      <c r="F31" s="34" t="str">
        <v>631-G-0262A POTABLE WTR PMP THRUST BRNG TEMP</v>
      </c>
      <c r="G31" s="34" t="str">
        <v/>
      </c>
      <c r="H31" s="34" t="str">
        <v/>
      </c>
      <c r="I31" s="34" t="str">
        <v/>
      </c>
      <c r="J31" s="34" t="str">
        <v/>
      </c>
      <c r="K31" s="34" t="str">
        <v/>
      </c>
      <c r="L31" s="34" t="str">
        <v/>
      </c>
      <c r="M31" s="34" t="str">
        <v/>
      </c>
      <c r="N31" s="34" t="str">
        <v/>
      </c>
      <c r="O31" s="34" t="str">
        <v/>
      </c>
      <c r="P31" s="34" t="str">
        <v/>
      </c>
      <c r="Q31" s="34" t="str">
        <v/>
      </c>
      <c r="R31" s="34" t="str">
        <v/>
      </c>
      <c r="S31" s="34" t="str">
        <v/>
      </c>
      <c r="T31" s="34" t="str">
        <v/>
      </c>
      <c r="U31" s="34" t="str">
        <v>SW</v>
      </c>
      <c r="V31" s="34" t="str">
        <v/>
      </c>
      <c r="W31" s="34" t="str">
        <v>-</v>
      </c>
      <c r="X31" s="34" t="str">
        <v>DCS</v>
      </c>
      <c r="Y31" s="34" t="str">
        <v>-</v>
      </c>
      <c r="Z31" s="34" t="str">
        <v>No</v>
      </c>
      <c r="AA31" s="34" t="str">
        <v>AUX</v>
      </c>
      <c r="AB31" s="34" t="str">
        <v/>
      </c>
    </row>
    <row r="32" spans="1:28" ht="96">
      <c r="A32" s="34" t="str">
        <v>CA-741768-001</v>
      </c>
      <c r="B32" s="34" t="str">
        <v>631-TIT  -3714</v>
      </c>
      <c r="C32" s="34" t="str">
        <v>631-T-3714</v>
      </c>
      <c r="D32" s="34" t="str">
        <v>FIELD</v>
      </c>
      <c r="E32" s="34" t="str">
        <v>TEMPERATURE INDICATING TRANSMITTER</v>
      </c>
      <c r="F32" s="34" t="str">
        <v>631-G-0262A POTABLE WTR PMP THRUST BRNG TEMP</v>
      </c>
      <c r="G32" s="34">
        <v>0</v>
      </c>
      <c r="H32" s="34">
        <v>250</v>
      </c>
      <c r="I32" s="34" t="str">
        <v>°F</v>
      </c>
      <c r="J32" s="34">
        <v>0</v>
      </c>
      <c r="K32" s="34">
        <v>250</v>
      </c>
      <c r="L32" s="34" t="str">
        <v>°F</v>
      </c>
      <c r="M32" s="34" t="str">
        <v/>
      </c>
      <c r="N32" s="34" t="str">
        <v/>
      </c>
      <c r="O32" s="34" t="str">
        <v/>
      </c>
      <c r="P32" s="34" t="str">
        <v/>
      </c>
      <c r="Q32" s="34" t="str">
        <v/>
      </c>
      <c r="R32" s="34" t="str">
        <v/>
      </c>
      <c r="S32" s="34" t="str">
        <v/>
      </c>
      <c r="T32" s="34" t="str">
        <v/>
      </c>
      <c r="U32" s="34" t="str">
        <v>HART AI</v>
      </c>
      <c r="V32" s="34" t="str">
        <v>631-DCS402</v>
      </c>
      <c r="W32" s="34" t="str">
        <v>4-20mA</v>
      </c>
      <c r="X32" s="34" t="str">
        <v>DCS</v>
      </c>
      <c r="Y32" s="34" t="str">
        <v>H</v>
      </c>
      <c r="Z32" s="34" t="str">
        <v>No</v>
      </c>
      <c r="AA32" s="34" t="str">
        <v>AUX</v>
      </c>
      <c r="AB32" s="34" t="str">
        <v>Rev 00d</v>
      </c>
    </row>
    <row r="33" spans="1:28" ht="96">
      <c r="A33" s="34" t="str">
        <v>CA-741768-001</v>
      </c>
      <c r="B33" s="34" t="str">
        <v>631-TAH  -3714A</v>
      </c>
      <c r="C33" s="34" t="str">
        <v>631-T-3714</v>
      </c>
      <c r="D33" s="34" t="str">
        <v>DCS</v>
      </c>
      <c r="E33" s="34" t="str">
        <v>TEMPERATURE ALARM HIGH</v>
      </c>
      <c r="F33" s="34" t="str">
        <v>631-G-0262A POTABLE WTR PMP THRUST BRNG TEMP HI</v>
      </c>
      <c r="G33" s="34" t="str">
        <v/>
      </c>
      <c r="H33" s="34" t="str">
        <v/>
      </c>
      <c r="I33" s="34" t="str">
        <v/>
      </c>
      <c r="J33" s="34" t="str">
        <v/>
      </c>
      <c r="K33" s="34" t="str">
        <v/>
      </c>
      <c r="L33" s="34" t="str">
        <v/>
      </c>
      <c r="M33" s="34" t="str">
        <v>200</v>
      </c>
      <c r="N33" s="34" t="str">
        <v/>
      </c>
      <c r="O33" s="34" t="str">
        <v/>
      </c>
      <c r="P33" s="34" t="str">
        <v/>
      </c>
      <c r="Q33" s="34" t="str">
        <v/>
      </c>
      <c r="R33" s="34" t="str">
        <v/>
      </c>
      <c r="S33" s="34" t="str">
        <v>°F</v>
      </c>
      <c r="T33" s="34" t="str">
        <v/>
      </c>
      <c r="U33" s="34" t="str">
        <v>SW</v>
      </c>
      <c r="V33" s="34" t="str">
        <v/>
      </c>
      <c r="W33" s="34" t="str">
        <v>-</v>
      </c>
      <c r="X33" s="34" t="str">
        <v>DCS</v>
      </c>
      <c r="Y33" s="34" t="str">
        <v>-</v>
      </c>
      <c r="Z33" s="34" t="str">
        <v>No</v>
      </c>
      <c r="AA33" s="34" t="str">
        <v>AUX</v>
      </c>
      <c r="AB33" s="34" t="str">
        <v/>
      </c>
    </row>
    <row r="34" spans="1:28" ht="96">
      <c r="A34" s="34" t="str">
        <v>CA-741768-001</v>
      </c>
      <c r="B34" s="34" t="str">
        <v>631-TAH  -3714B</v>
      </c>
      <c r="C34" s="34" t="str">
        <v>631-T-3714</v>
      </c>
      <c r="D34" s="34" t="str">
        <v>DCS</v>
      </c>
      <c r="E34" s="34" t="str">
        <v>TEMPERATURE ALARM HIGH</v>
      </c>
      <c r="F34" s="34" t="str">
        <v>631-G-0262A POTABLE WTR PMP THRUST BRNG TEMP HI</v>
      </c>
      <c r="G34" s="34" t="str">
        <v/>
      </c>
      <c r="H34" s="34" t="str">
        <v/>
      </c>
      <c r="I34" s="34" t="str">
        <v/>
      </c>
      <c r="J34" s="34" t="str">
        <v/>
      </c>
      <c r="K34" s="34" t="str">
        <v/>
      </c>
      <c r="L34" s="34" t="str">
        <v/>
      </c>
      <c r="M34" s="34" t="str">
        <v>220</v>
      </c>
      <c r="N34" s="34" t="str">
        <v/>
      </c>
      <c r="O34" s="34" t="str">
        <v/>
      </c>
      <c r="P34" s="34" t="str">
        <v/>
      </c>
      <c r="Q34" s="34" t="str">
        <v/>
      </c>
      <c r="R34" s="34" t="str">
        <v/>
      </c>
      <c r="S34" s="34" t="str">
        <v>°F</v>
      </c>
      <c r="T34" s="34" t="str">
        <v/>
      </c>
      <c r="U34" s="34" t="str">
        <v>SW</v>
      </c>
      <c r="V34" s="34" t="str">
        <v/>
      </c>
      <c r="W34" s="34" t="str">
        <v>-</v>
      </c>
      <c r="X34" s="34" t="str">
        <v>DCS</v>
      </c>
      <c r="Y34" s="34" t="str">
        <v>-</v>
      </c>
      <c r="Z34" s="34" t="str">
        <v>No</v>
      </c>
      <c r="AA34" s="34" t="str">
        <v>AUX</v>
      </c>
      <c r="AB34" s="34" t="str">
        <v/>
      </c>
    </row>
    <row r="35" spans="1:28" ht="96">
      <c r="A35" s="34" t="str">
        <v>CA-741768-001</v>
      </c>
      <c r="B35" s="34" t="str">
        <v>631-TI   -3715</v>
      </c>
      <c r="C35" s="34" t="str">
        <v>631-T-3715</v>
      </c>
      <c r="D35" s="34" t="str">
        <v>DCS</v>
      </c>
      <c r="E35" s="34" t="str">
        <v>DCS TEMPERATURE INDICATION</v>
      </c>
      <c r="F35" s="34" t="str">
        <v>631-G-0262B POTABLE WTR PMP THURST BRNG TMEP</v>
      </c>
      <c r="G35" s="34" t="str">
        <v/>
      </c>
      <c r="H35" s="34" t="str">
        <v/>
      </c>
      <c r="I35" s="34" t="str">
        <v/>
      </c>
      <c r="J35" s="34" t="str">
        <v/>
      </c>
      <c r="K35" s="34" t="str">
        <v/>
      </c>
      <c r="L35" s="34" t="str">
        <v/>
      </c>
      <c r="M35" s="34" t="str">
        <v/>
      </c>
      <c r="N35" s="34" t="str">
        <v/>
      </c>
      <c r="O35" s="34" t="str">
        <v/>
      </c>
      <c r="P35" s="34" t="str">
        <v/>
      </c>
      <c r="Q35" s="34" t="str">
        <v/>
      </c>
      <c r="R35" s="34" t="str">
        <v/>
      </c>
      <c r="S35" s="34" t="str">
        <v/>
      </c>
      <c r="T35" s="34" t="str">
        <v/>
      </c>
      <c r="U35" s="34" t="str">
        <v>SW</v>
      </c>
      <c r="V35" s="34" t="str">
        <v/>
      </c>
      <c r="W35" s="34" t="str">
        <v>-</v>
      </c>
      <c r="X35" s="34" t="str">
        <v>DCS</v>
      </c>
      <c r="Y35" s="34" t="str">
        <v>-</v>
      </c>
      <c r="Z35" s="34" t="str">
        <v>No</v>
      </c>
      <c r="AA35" s="34" t="str">
        <v>AUX</v>
      </c>
      <c r="AB35" s="34" t="str">
        <v/>
      </c>
    </row>
    <row r="36" spans="1:28" ht="96">
      <c r="A36" s="34" t="str">
        <v>CA-741768-001</v>
      </c>
      <c r="B36" s="34" t="str">
        <v>631-TIT  -3715</v>
      </c>
      <c r="C36" s="34" t="str">
        <v>631-T-3715</v>
      </c>
      <c r="D36" s="34" t="str">
        <v>FIELD</v>
      </c>
      <c r="E36" s="34" t="str">
        <v>TEMPERATURE INDICATING TRANSMITTER</v>
      </c>
      <c r="F36" s="34" t="str">
        <v>631-G-0262B POTABLE WTR PMP THURST BRNG TMEP</v>
      </c>
      <c r="G36" s="34">
        <v>0</v>
      </c>
      <c r="H36" s="34">
        <v>250</v>
      </c>
      <c r="I36" s="34" t="str">
        <v>°F</v>
      </c>
      <c r="J36" s="34">
        <v>0</v>
      </c>
      <c r="K36" s="34">
        <v>250</v>
      </c>
      <c r="L36" s="34" t="str">
        <v>°F</v>
      </c>
      <c r="M36" s="34" t="str">
        <v/>
      </c>
      <c r="N36" s="34" t="str">
        <v/>
      </c>
      <c r="O36" s="34" t="str">
        <v/>
      </c>
      <c r="P36" s="34" t="str">
        <v/>
      </c>
      <c r="Q36" s="34" t="str">
        <v/>
      </c>
      <c r="R36" s="34" t="str">
        <v/>
      </c>
      <c r="S36" s="34" t="str">
        <v/>
      </c>
      <c r="T36" s="34" t="str">
        <v/>
      </c>
      <c r="U36" s="34" t="str">
        <v>HART AI</v>
      </c>
      <c r="V36" s="34" t="str">
        <v>631-DCS402</v>
      </c>
      <c r="W36" s="34" t="str">
        <v>4-20mA</v>
      </c>
      <c r="X36" s="34" t="str">
        <v>DCS</v>
      </c>
      <c r="Y36" s="34" t="str">
        <v>H</v>
      </c>
      <c r="Z36" s="34" t="str">
        <v>No</v>
      </c>
      <c r="AA36" s="34" t="str">
        <v>AUX</v>
      </c>
      <c r="AB36" s="34" t="str">
        <v>Rev 00d</v>
      </c>
    </row>
    <row r="37" spans="1:28" ht="96">
      <c r="A37" s="34" t="str">
        <v>CA-741768-001</v>
      </c>
      <c r="B37" s="34" t="str">
        <v>631-TAH  -3715A</v>
      </c>
      <c r="C37" s="34" t="str">
        <v>631-T-3715</v>
      </c>
      <c r="D37" s="34" t="str">
        <v>DCS</v>
      </c>
      <c r="E37" s="34" t="str">
        <v>TEMPERATURE ALARM HIGH</v>
      </c>
      <c r="F37" s="34" t="str">
        <v>631-G-0262B POTABLE WTR PMP THURST BRNG TMEP HI</v>
      </c>
      <c r="G37" s="34" t="str">
        <v/>
      </c>
      <c r="H37" s="34" t="str">
        <v/>
      </c>
      <c r="I37" s="34" t="str">
        <v/>
      </c>
      <c r="J37" s="34" t="str">
        <v/>
      </c>
      <c r="K37" s="34" t="str">
        <v/>
      </c>
      <c r="L37" s="34" t="str">
        <v/>
      </c>
      <c r="M37" s="34" t="str">
        <v>200</v>
      </c>
      <c r="N37" s="34" t="str">
        <v/>
      </c>
      <c r="O37" s="34" t="str">
        <v/>
      </c>
      <c r="P37" s="34" t="str">
        <v/>
      </c>
      <c r="Q37" s="34" t="str">
        <v/>
      </c>
      <c r="R37" s="34" t="str">
        <v/>
      </c>
      <c r="S37" s="34" t="str">
        <v>°F</v>
      </c>
      <c r="T37" s="34" t="str">
        <v/>
      </c>
      <c r="U37" s="34" t="str">
        <v>SW</v>
      </c>
      <c r="V37" s="34" t="str">
        <v/>
      </c>
      <c r="W37" s="34" t="str">
        <v>-</v>
      </c>
      <c r="X37" s="34" t="str">
        <v>DCS</v>
      </c>
      <c r="Y37" s="34" t="str">
        <v>-</v>
      </c>
      <c r="Z37" s="34" t="str">
        <v>No</v>
      </c>
      <c r="AA37" s="34" t="str">
        <v>AUX</v>
      </c>
      <c r="AB37" s="34" t="str">
        <v/>
      </c>
    </row>
    <row r="38" spans="1:28" ht="96">
      <c r="A38" s="34" t="str">
        <v>CA-741768-001</v>
      </c>
      <c r="B38" s="34" t="str">
        <v>631-TAH  -3715B</v>
      </c>
      <c r="C38" s="34" t="str">
        <v>631-T-3715</v>
      </c>
      <c r="D38" s="34" t="str">
        <v>DCS</v>
      </c>
      <c r="E38" s="34" t="str">
        <v>TEMPERATURE ALARM HIGH</v>
      </c>
      <c r="F38" s="34" t="str">
        <v>631-G-0262B POTABLE WTR PMP THURST BRNG TMEP HI</v>
      </c>
      <c r="G38" s="34" t="str">
        <v/>
      </c>
      <c r="H38" s="34" t="str">
        <v/>
      </c>
      <c r="I38" s="34" t="str">
        <v/>
      </c>
      <c r="J38" s="34" t="str">
        <v/>
      </c>
      <c r="K38" s="34" t="str">
        <v/>
      </c>
      <c r="L38" s="34" t="str">
        <v/>
      </c>
      <c r="M38" s="34" t="str">
        <v>220</v>
      </c>
      <c r="N38" s="34" t="str">
        <v/>
      </c>
      <c r="O38" s="34" t="str">
        <v/>
      </c>
      <c r="P38" s="34" t="str">
        <v/>
      </c>
      <c r="Q38" s="34" t="str">
        <v/>
      </c>
      <c r="R38" s="34" t="str">
        <v/>
      </c>
      <c r="S38" s="34" t="str">
        <v>°F</v>
      </c>
      <c r="T38" s="34" t="str">
        <v/>
      </c>
      <c r="U38" s="34" t="str">
        <v>SW</v>
      </c>
      <c r="V38" s="34" t="str">
        <v/>
      </c>
      <c r="W38" s="34" t="str">
        <v>-</v>
      </c>
      <c r="X38" s="34" t="str">
        <v>DCS</v>
      </c>
      <c r="Y38" s="34" t="str">
        <v>-</v>
      </c>
      <c r="Z38" s="34" t="str">
        <v>No</v>
      </c>
      <c r="AA38" s="34" t="str">
        <v>AUX</v>
      </c>
      <c r="AB38" s="34" t="str">
        <v/>
      </c>
    </row>
    <row r="39" spans="1:28" ht="84">
      <c r="A39" s="34" t="str">
        <v>CA-741768-001</v>
      </c>
      <c r="B39" s="34" t="str">
        <v>631-TI   -3716</v>
      </c>
      <c r="C39" s="34" t="str">
        <v>631-T-3716</v>
      </c>
      <c r="D39" s="34" t="str">
        <v>DCS</v>
      </c>
      <c r="E39" s="34" t="str">
        <v>DCS TEMPERATURE INDICATION</v>
      </c>
      <c r="F39" s="34" t="str">
        <v>631-G-0262A POTABLE WTR PMP RAD BRNG TEMP</v>
      </c>
      <c r="G39" s="34" t="str">
        <v/>
      </c>
      <c r="H39" s="34" t="str">
        <v/>
      </c>
      <c r="I39" s="34" t="str">
        <v/>
      </c>
      <c r="J39" s="34" t="str">
        <v/>
      </c>
      <c r="K39" s="34" t="str">
        <v/>
      </c>
      <c r="L39" s="34" t="str">
        <v/>
      </c>
      <c r="M39" s="34" t="str">
        <v/>
      </c>
      <c r="N39" s="34" t="str">
        <v/>
      </c>
      <c r="O39" s="34" t="str">
        <v/>
      </c>
      <c r="P39" s="34" t="str">
        <v/>
      </c>
      <c r="Q39" s="34" t="str">
        <v/>
      </c>
      <c r="R39" s="34" t="str">
        <v/>
      </c>
      <c r="S39" s="34" t="str">
        <v/>
      </c>
      <c r="T39" s="34" t="str">
        <v/>
      </c>
      <c r="U39" s="34" t="str">
        <v>SW</v>
      </c>
      <c r="V39" s="34" t="str">
        <v/>
      </c>
      <c r="W39" s="34" t="str">
        <v>-</v>
      </c>
      <c r="X39" s="34" t="str">
        <v>DCS</v>
      </c>
      <c r="Y39" s="34" t="str">
        <v>-</v>
      </c>
      <c r="Z39" s="34" t="str">
        <v>No</v>
      </c>
      <c r="AA39" s="34" t="str">
        <v>AUX</v>
      </c>
      <c r="AB39" s="34" t="str">
        <v/>
      </c>
    </row>
    <row r="40" spans="1:28" ht="84">
      <c r="A40" s="34" t="str">
        <v>CA-741768-001</v>
      </c>
      <c r="B40" s="34" t="str">
        <v>631-TIT  -3716</v>
      </c>
      <c r="C40" s="34" t="str">
        <v>631-T-3716</v>
      </c>
      <c r="D40" s="34" t="str">
        <v>FIELD</v>
      </c>
      <c r="E40" s="34" t="str">
        <v>TEMPERATURE INDICATING TRANSMITTER</v>
      </c>
      <c r="F40" s="34" t="str">
        <v>631-G-0262A POTABLE WTR PMP RAD BRNG TEMP</v>
      </c>
      <c r="G40" s="34">
        <v>0</v>
      </c>
      <c r="H40" s="34">
        <v>250</v>
      </c>
      <c r="I40" s="34" t="str">
        <v>°F</v>
      </c>
      <c r="J40" s="34">
        <v>0</v>
      </c>
      <c r="K40" s="34">
        <v>250</v>
      </c>
      <c r="L40" s="34" t="str">
        <v>°F</v>
      </c>
      <c r="M40" s="34" t="str">
        <v/>
      </c>
      <c r="N40" s="34" t="str">
        <v/>
      </c>
      <c r="O40" s="34" t="str">
        <v/>
      </c>
      <c r="P40" s="34" t="str">
        <v/>
      </c>
      <c r="Q40" s="34" t="str">
        <v/>
      </c>
      <c r="R40" s="34" t="str">
        <v/>
      </c>
      <c r="S40" s="34" t="str">
        <v/>
      </c>
      <c r="T40" s="34" t="str">
        <v/>
      </c>
      <c r="U40" s="34" t="str">
        <v>HART AI</v>
      </c>
      <c r="V40" s="34" t="str">
        <v>631-DCS402</v>
      </c>
      <c r="W40" s="34" t="str">
        <v>4-20mA</v>
      </c>
      <c r="X40" s="34" t="str">
        <v>DCS</v>
      </c>
      <c r="Y40" s="34" t="str">
        <v>H</v>
      </c>
      <c r="Z40" s="34" t="str">
        <v>No</v>
      </c>
      <c r="AA40" s="34" t="str">
        <v>AUX</v>
      </c>
      <c r="AB40" s="34" t="str">
        <v>Rev 00d</v>
      </c>
    </row>
    <row r="41" spans="1:28" ht="84">
      <c r="A41" s="34" t="str">
        <v>CA-741768-001</v>
      </c>
      <c r="B41" s="34" t="str">
        <v>631-TAH  -3716A</v>
      </c>
      <c r="C41" s="34" t="str">
        <v>631-T-3716</v>
      </c>
      <c r="D41" s="34" t="str">
        <v>DCS</v>
      </c>
      <c r="E41" s="34" t="str">
        <v>TEMPERATURE ALARM HIGH</v>
      </c>
      <c r="F41" s="34" t="str">
        <v>631-G-0262A POTABLE WTR PMP RAD BRNG TEMP HI</v>
      </c>
      <c r="G41" s="34" t="str">
        <v/>
      </c>
      <c r="H41" s="34" t="str">
        <v/>
      </c>
      <c r="I41" s="34" t="str">
        <v/>
      </c>
      <c r="J41" s="34" t="str">
        <v/>
      </c>
      <c r="K41" s="34" t="str">
        <v/>
      </c>
      <c r="L41" s="34" t="str">
        <v/>
      </c>
      <c r="M41" s="34" t="str">
        <v>200</v>
      </c>
      <c r="N41" s="34" t="str">
        <v/>
      </c>
      <c r="O41" s="34" t="str">
        <v/>
      </c>
      <c r="P41" s="34" t="str">
        <v/>
      </c>
      <c r="Q41" s="34" t="str">
        <v/>
      </c>
      <c r="R41" s="34" t="str">
        <v/>
      </c>
      <c r="S41" s="34" t="str">
        <v>°F</v>
      </c>
      <c r="T41" s="34" t="str">
        <v/>
      </c>
      <c r="U41" s="34" t="str">
        <v>SW</v>
      </c>
      <c r="V41" s="34" t="str">
        <v/>
      </c>
      <c r="W41" s="34" t="str">
        <v>-</v>
      </c>
      <c r="X41" s="34" t="str">
        <v>DCS</v>
      </c>
      <c r="Y41" s="34" t="str">
        <v>-</v>
      </c>
      <c r="Z41" s="34" t="str">
        <v>No</v>
      </c>
      <c r="AA41" s="34" t="str">
        <v>AUX</v>
      </c>
      <c r="AB41" s="34" t="str">
        <v/>
      </c>
    </row>
    <row r="42" spans="1:28" ht="84">
      <c r="A42" s="34" t="str">
        <v>CA-741768-001</v>
      </c>
      <c r="B42" s="34" t="str">
        <v>631-TAH  -3716B</v>
      </c>
      <c r="C42" s="34" t="str">
        <v>631-T-3716</v>
      </c>
      <c r="D42" s="34" t="str">
        <v>DCS</v>
      </c>
      <c r="E42" s="34" t="str">
        <v>TEMPERATURE ALARM HIGH</v>
      </c>
      <c r="F42" s="34" t="str">
        <v>631-G-0262A POTABLE WTR PMP RAD BRNG TEMP HI</v>
      </c>
      <c r="G42" s="34" t="str">
        <v/>
      </c>
      <c r="H42" s="34" t="str">
        <v/>
      </c>
      <c r="I42" s="34" t="str">
        <v/>
      </c>
      <c r="J42" s="34" t="str">
        <v/>
      </c>
      <c r="K42" s="34" t="str">
        <v/>
      </c>
      <c r="L42" s="34" t="str">
        <v/>
      </c>
      <c r="M42" s="34" t="str">
        <v>220</v>
      </c>
      <c r="N42" s="34" t="str">
        <v/>
      </c>
      <c r="O42" s="34" t="str">
        <v/>
      </c>
      <c r="P42" s="34" t="str">
        <v/>
      </c>
      <c r="Q42" s="34" t="str">
        <v/>
      </c>
      <c r="R42" s="34" t="str">
        <v/>
      </c>
      <c r="S42" s="34" t="str">
        <v>°F</v>
      </c>
      <c r="T42" s="34" t="str">
        <v/>
      </c>
      <c r="U42" s="34" t="str">
        <v>SW</v>
      </c>
      <c r="V42" s="34" t="str">
        <v/>
      </c>
      <c r="W42" s="34" t="str">
        <v>-</v>
      </c>
      <c r="X42" s="34" t="str">
        <v>DCS</v>
      </c>
      <c r="Y42" s="34" t="str">
        <v>-</v>
      </c>
      <c r="Z42" s="34" t="str">
        <v>No</v>
      </c>
      <c r="AA42" s="34" t="str">
        <v>AUX</v>
      </c>
      <c r="AB42" s="34" t="str">
        <v/>
      </c>
    </row>
    <row r="43" spans="1:28" ht="84">
      <c r="A43" s="34" t="str">
        <v>CA-741768-001</v>
      </c>
      <c r="B43" s="34" t="str">
        <v>631-TI   -3717</v>
      </c>
      <c r="C43" s="34" t="str">
        <v>631-T-3717</v>
      </c>
      <c r="D43" s="34" t="str">
        <v>DCS</v>
      </c>
      <c r="E43" s="34" t="str">
        <v>DCS TEMPERATURE INDICATION</v>
      </c>
      <c r="F43" s="34" t="str">
        <v>631-G-0262B POTABLE WTR PMP RAD BRNG TEMP</v>
      </c>
      <c r="G43" s="34" t="str">
        <v/>
      </c>
      <c r="H43" s="34" t="str">
        <v/>
      </c>
      <c r="I43" s="34" t="str">
        <v/>
      </c>
      <c r="J43" s="34" t="str">
        <v/>
      </c>
      <c r="K43" s="34" t="str">
        <v/>
      </c>
      <c r="L43" s="34" t="str">
        <v/>
      </c>
      <c r="M43" s="34" t="str">
        <v/>
      </c>
      <c r="N43" s="34" t="str">
        <v/>
      </c>
      <c r="O43" s="34" t="str">
        <v/>
      </c>
      <c r="P43" s="34" t="str">
        <v/>
      </c>
      <c r="Q43" s="34" t="str">
        <v/>
      </c>
      <c r="R43" s="34" t="str">
        <v/>
      </c>
      <c r="S43" s="34" t="str">
        <v/>
      </c>
      <c r="T43" s="34" t="str">
        <v/>
      </c>
      <c r="U43" s="34" t="str">
        <v>SW</v>
      </c>
      <c r="V43" s="34" t="str">
        <v/>
      </c>
      <c r="W43" s="34" t="str">
        <v>-</v>
      </c>
      <c r="X43" s="34" t="str">
        <v>DCS</v>
      </c>
      <c r="Y43" s="34" t="str">
        <v>-</v>
      </c>
      <c r="Z43" s="34" t="str">
        <v>No</v>
      </c>
      <c r="AA43" s="34" t="str">
        <v>AUX</v>
      </c>
      <c r="AB43" s="34" t="str">
        <v/>
      </c>
    </row>
    <row r="44" spans="1:28" ht="84">
      <c r="A44" s="34" t="str">
        <v>CA-741768-001</v>
      </c>
      <c r="B44" s="34" t="str">
        <v>631-TIT  -3717</v>
      </c>
      <c r="C44" s="34" t="str">
        <v>631-T-3717</v>
      </c>
      <c r="D44" s="34" t="str">
        <v>FIELD</v>
      </c>
      <c r="E44" s="34" t="str">
        <v>TEMPERATURE INDICATING TRANSMITTER</v>
      </c>
      <c r="F44" s="34" t="str">
        <v>631-G-0262B POTABLE WTR PMP RAD BRNG TEMP</v>
      </c>
      <c r="G44" s="34">
        <v>0</v>
      </c>
      <c r="H44" s="34">
        <v>250</v>
      </c>
      <c r="I44" s="34" t="str">
        <v>°F</v>
      </c>
      <c r="J44" s="34">
        <v>0</v>
      </c>
      <c r="K44" s="34">
        <v>250</v>
      </c>
      <c r="L44" s="34" t="str">
        <v>°F</v>
      </c>
      <c r="M44" s="34" t="str">
        <v/>
      </c>
      <c r="N44" s="34" t="str">
        <v/>
      </c>
      <c r="O44" s="34" t="str">
        <v/>
      </c>
      <c r="P44" s="34" t="str">
        <v/>
      </c>
      <c r="Q44" s="34" t="str">
        <v/>
      </c>
      <c r="R44" s="34" t="str">
        <v/>
      </c>
      <c r="S44" s="34" t="str">
        <v/>
      </c>
      <c r="T44" s="34" t="str">
        <v/>
      </c>
      <c r="U44" s="34" t="str">
        <v>HART AI</v>
      </c>
      <c r="V44" s="34" t="str">
        <v>631-DCS402</v>
      </c>
      <c r="W44" s="34" t="str">
        <v>4-20mA</v>
      </c>
      <c r="X44" s="34" t="str">
        <v>DCS</v>
      </c>
      <c r="Y44" s="34" t="str">
        <v>H</v>
      </c>
      <c r="Z44" s="34" t="str">
        <v>No</v>
      </c>
      <c r="AA44" s="34" t="str">
        <v>AUX</v>
      </c>
      <c r="AB44" s="34" t="str">
        <v>Rev 00d</v>
      </c>
    </row>
    <row r="45" spans="1:28" ht="84">
      <c r="A45" s="34" t="str">
        <v>CA-741768-001</v>
      </c>
      <c r="B45" s="34" t="str">
        <v>631-TAH  -3717A</v>
      </c>
      <c r="C45" s="34" t="str">
        <v>631-T-3717</v>
      </c>
      <c r="D45" s="34" t="str">
        <v>DCS</v>
      </c>
      <c r="E45" s="34" t="str">
        <v>TEMPERATURE ALARM HIGH</v>
      </c>
      <c r="F45" s="34" t="str">
        <v>631-G-0262B POTABLE WTR PMP RAD BRNG TEMP HI</v>
      </c>
      <c r="G45" s="34" t="str">
        <v/>
      </c>
      <c r="H45" s="34" t="str">
        <v/>
      </c>
      <c r="I45" s="34" t="str">
        <v/>
      </c>
      <c r="J45" s="34" t="str">
        <v/>
      </c>
      <c r="K45" s="34" t="str">
        <v/>
      </c>
      <c r="L45" s="34" t="str">
        <v/>
      </c>
      <c r="M45" s="34" t="str">
        <v>200</v>
      </c>
      <c r="N45" s="34" t="str">
        <v/>
      </c>
      <c r="O45" s="34" t="str">
        <v/>
      </c>
      <c r="P45" s="34" t="str">
        <v/>
      </c>
      <c r="Q45" s="34" t="str">
        <v/>
      </c>
      <c r="R45" s="34" t="str">
        <v/>
      </c>
      <c r="S45" s="34" t="str">
        <v>°F</v>
      </c>
      <c r="T45" s="34" t="str">
        <v/>
      </c>
      <c r="U45" s="34" t="str">
        <v>SW</v>
      </c>
      <c r="V45" s="34" t="str">
        <v/>
      </c>
      <c r="W45" s="34" t="str">
        <v>-</v>
      </c>
      <c r="X45" s="34" t="str">
        <v>DCS</v>
      </c>
      <c r="Y45" s="34" t="str">
        <v>-</v>
      </c>
      <c r="Z45" s="34" t="str">
        <v>No</v>
      </c>
      <c r="AA45" s="34" t="str">
        <v>AUX</v>
      </c>
      <c r="AB45" s="34" t="str">
        <v/>
      </c>
    </row>
    <row r="46" spans="1:28" ht="84">
      <c r="A46" s="34" t="str">
        <v>CA-741768-001</v>
      </c>
      <c r="B46" s="34" t="str">
        <v>631-TAH  -3717B</v>
      </c>
      <c r="C46" s="34" t="str">
        <v>631-T-3717</v>
      </c>
      <c r="D46" s="34" t="str">
        <v>DCS</v>
      </c>
      <c r="E46" s="34" t="str">
        <v>TEMPERATURE ALARM HIGH</v>
      </c>
      <c r="F46" s="34" t="str">
        <v>631-G-0262B POTABLE WTR PMP RAD BRNG TEMP HI</v>
      </c>
      <c r="G46" s="34" t="str">
        <v/>
      </c>
      <c r="H46" s="34" t="str">
        <v/>
      </c>
      <c r="I46" s="34" t="str">
        <v/>
      </c>
      <c r="J46" s="34" t="str">
        <v/>
      </c>
      <c r="K46" s="34" t="str">
        <v/>
      </c>
      <c r="L46" s="34" t="str">
        <v/>
      </c>
      <c r="M46" s="34" t="str">
        <v>220</v>
      </c>
      <c r="N46" s="34" t="str">
        <v/>
      </c>
      <c r="O46" s="34" t="str">
        <v/>
      </c>
      <c r="P46" s="34" t="str">
        <v/>
      </c>
      <c r="Q46" s="34" t="str">
        <v/>
      </c>
      <c r="R46" s="34" t="str">
        <v/>
      </c>
      <c r="S46" s="34" t="str">
        <v>°F</v>
      </c>
      <c r="T46" s="34" t="str">
        <v/>
      </c>
      <c r="U46" s="34" t="str">
        <v>SW</v>
      </c>
      <c r="V46" s="34" t="str">
        <v/>
      </c>
      <c r="W46" s="34" t="str">
        <v>-</v>
      </c>
      <c r="X46" s="34" t="str">
        <v>DCS</v>
      </c>
      <c r="Y46" s="34" t="str">
        <v>-</v>
      </c>
      <c r="Z46" s="34" t="str">
        <v>No</v>
      </c>
      <c r="AA46" s="34" t="str">
        <v>AUX</v>
      </c>
      <c r="AB46" s="34" t="str">
        <v/>
      </c>
    </row>
    <row r="47" spans="1:28" ht="96">
      <c r="A47" s="34" t="str">
        <v>CA-741768-001</v>
      </c>
      <c r="B47" s="34" t="str">
        <v>631-TI   -3718</v>
      </c>
      <c r="C47" s="34" t="str">
        <v>631-T-3718</v>
      </c>
      <c r="D47" s="34" t="str">
        <v>DCS</v>
      </c>
      <c r="E47" s="34" t="str">
        <v>DCS TEMPERATURE INDICATION</v>
      </c>
      <c r="F47" s="34" t="str">
        <v>631-G-0262B POTABLE WTR PMP THURST BRNG TMEP</v>
      </c>
      <c r="G47" s="34" t="str">
        <v/>
      </c>
      <c r="H47" s="34" t="str">
        <v/>
      </c>
      <c r="I47" s="34" t="str">
        <v/>
      </c>
      <c r="J47" s="34" t="str">
        <v/>
      </c>
      <c r="K47" s="34" t="str">
        <v/>
      </c>
      <c r="L47" s="34" t="str">
        <v/>
      </c>
      <c r="M47" s="34" t="str">
        <v/>
      </c>
      <c r="N47" s="34" t="str">
        <v/>
      </c>
      <c r="O47" s="34" t="str">
        <v/>
      </c>
      <c r="P47" s="34" t="str">
        <v/>
      </c>
      <c r="Q47" s="34" t="str">
        <v/>
      </c>
      <c r="R47" s="34" t="str">
        <v/>
      </c>
      <c r="S47" s="34" t="str">
        <v/>
      </c>
      <c r="T47" s="34" t="str">
        <v/>
      </c>
      <c r="U47" s="34" t="str">
        <v>SW</v>
      </c>
      <c r="V47" s="34" t="str">
        <v/>
      </c>
      <c r="W47" s="34" t="str">
        <v>-</v>
      </c>
      <c r="X47" s="34" t="str">
        <v>DCS</v>
      </c>
      <c r="Y47" s="34" t="str">
        <v>-</v>
      </c>
      <c r="Z47" s="34" t="str">
        <v>No</v>
      </c>
      <c r="AA47" s="34" t="str">
        <v>AUX</v>
      </c>
      <c r="AB47" s="34" t="str">
        <v/>
      </c>
    </row>
    <row r="48" spans="1:28" ht="96">
      <c r="A48" s="34" t="str">
        <v>CA-741768-001</v>
      </c>
      <c r="B48" s="34" t="str">
        <v>631-TIT  -3718</v>
      </c>
      <c r="C48" s="34" t="str">
        <v>631-T-3718</v>
      </c>
      <c r="D48" s="34" t="str">
        <v>FIELD</v>
      </c>
      <c r="E48" s="34" t="str">
        <v>TEMPERATURE INDICATING TRANSMITTER</v>
      </c>
      <c r="F48" s="34" t="str">
        <v>631-G-0262B POTABLE WTR PMP THURST BRNG TMEP</v>
      </c>
      <c r="G48" s="34">
        <v>0</v>
      </c>
      <c r="H48" s="34">
        <v>250</v>
      </c>
      <c r="I48" s="34" t="str">
        <v>°F</v>
      </c>
      <c r="J48" s="34">
        <v>0</v>
      </c>
      <c r="K48" s="34">
        <v>250</v>
      </c>
      <c r="L48" s="34" t="str">
        <v>°F</v>
      </c>
      <c r="M48" s="34" t="str">
        <v/>
      </c>
      <c r="N48" s="34" t="str">
        <v/>
      </c>
      <c r="O48" s="34" t="str">
        <v/>
      </c>
      <c r="P48" s="34" t="str">
        <v/>
      </c>
      <c r="Q48" s="34" t="str">
        <v/>
      </c>
      <c r="R48" s="34" t="str">
        <v/>
      </c>
      <c r="S48" s="34" t="str">
        <v/>
      </c>
      <c r="T48" s="34" t="str">
        <v/>
      </c>
      <c r="U48" s="34" t="str">
        <v>HART AI</v>
      </c>
      <c r="V48" s="34" t="str">
        <v>631-DCS402</v>
      </c>
      <c r="W48" s="34" t="str">
        <v>4-20mA</v>
      </c>
      <c r="X48" s="34" t="str">
        <v>DCS</v>
      </c>
      <c r="Y48" s="34" t="str">
        <v>H</v>
      </c>
      <c r="Z48" s="34" t="str">
        <v>No</v>
      </c>
      <c r="AA48" s="34" t="str">
        <v>AUX</v>
      </c>
      <c r="AB48" s="34" t="str">
        <v>Rev 00d</v>
      </c>
    </row>
    <row r="49" spans="1:28" ht="96">
      <c r="A49" s="34" t="str">
        <v>CA-741768-001</v>
      </c>
      <c r="B49" s="34" t="str">
        <v>631-TAH  -3718A</v>
      </c>
      <c r="C49" s="34" t="str">
        <v>631-T-3718</v>
      </c>
      <c r="D49" s="34" t="str">
        <v>DCS</v>
      </c>
      <c r="E49" s="34" t="str">
        <v>TEMPERATURE ALARM HIGH</v>
      </c>
      <c r="F49" s="34" t="str">
        <v>631-G-0262B POTABLE WTR PMP THURST BRNG TEMP HI</v>
      </c>
      <c r="G49" s="34" t="str">
        <v/>
      </c>
      <c r="H49" s="34" t="str">
        <v/>
      </c>
      <c r="I49" s="34" t="str">
        <v/>
      </c>
      <c r="J49" s="34" t="str">
        <v/>
      </c>
      <c r="K49" s="34" t="str">
        <v/>
      </c>
      <c r="L49" s="34" t="str">
        <v/>
      </c>
      <c r="M49" s="34" t="str">
        <v>200</v>
      </c>
      <c r="N49" s="34" t="str">
        <v/>
      </c>
      <c r="O49" s="34" t="str">
        <v/>
      </c>
      <c r="P49" s="34" t="str">
        <v/>
      </c>
      <c r="Q49" s="34" t="str">
        <v/>
      </c>
      <c r="R49" s="34" t="str">
        <v/>
      </c>
      <c r="S49" s="34" t="str">
        <v>°F</v>
      </c>
      <c r="T49" s="34" t="str">
        <v/>
      </c>
      <c r="U49" s="34" t="str">
        <v>SW</v>
      </c>
      <c r="V49" s="34" t="str">
        <v/>
      </c>
      <c r="W49" s="34" t="str">
        <v>-</v>
      </c>
      <c r="X49" s="34" t="str">
        <v>DCS</v>
      </c>
      <c r="Y49" s="34" t="str">
        <v>-</v>
      </c>
      <c r="Z49" s="34" t="str">
        <v>No</v>
      </c>
      <c r="AA49" s="34" t="str">
        <v>AUX</v>
      </c>
      <c r="AB49" s="34" t="str">
        <v/>
      </c>
    </row>
    <row r="50" spans="1:28" ht="96">
      <c r="A50" s="34" t="str">
        <v>CA-741768-001</v>
      </c>
      <c r="B50" s="34" t="str">
        <v>631-TAH  -3718B</v>
      </c>
      <c r="C50" s="34" t="str">
        <v>631-T-3718</v>
      </c>
      <c r="D50" s="34" t="str">
        <v>DCS</v>
      </c>
      <c r="E50" s="34" t="str">
        <v>TEMPERATURE ALARM HIGH</v>
      </c>
      <c r="F50" s="34" t="str">
        <v>631-G-0262B POTABLE WTR PMP THURST BRNG TEMP HI</v>
      </c>
      <c r="G50" s="34" t="str">
        <v/>
      </c>
      <c r="H50" s="34" t="str">
        <v/>
      </c>
      <c r="I50" s="34" t="str">
        <v/>
      </c>
      <c r="J50" s="34" t="str">
        <v/>
      </c>
      <c r="K50" s="34" t="str">
        <v/>
      </c>
      <c r="L50" s="34" t="str">
        <v/>
      </c>
      <c r="M50" s="34" t="str">
        <v>220</v>
      </c>
      <c r="N50" s="34" t="str">
        <v/>
      </c>
      <c r="O50" s="34" t="str">
        <v/>
      </c>
      <c r="P50" s="34" t="str">
        <v/>
      </c>
      <c r="Q50" s="34" t="str">
        <v/>
      </c>
      <c r="R50" s="34" t="str">
        <v/>
      </c>
      <c r="S50" s="34" t="str">
        <v>°F</v>
      </c>
      <c r="T50" s="34" t="str">
        <v/>
      </c>
      <c r="U50" s="34" t="str">
        <v>SW</v>
      </c>
      <c r="V50" s="34" t="str">
        <v/>
      </c>
      <c r="W50" s="34" t="str">
        <v>-</v>
      </c>
      <c r="X50" s="34" t="str">
        <v>DCS</v>
      </c>
      <c r="Y50" s="34" t="str">
        <v>-</v>
      </c>
      <c r="Z50" s="34" t="str">
        <v>No</v>
      </c>
      <c r="AA50" s="34" t="str">
        <v>AUX</v>
      </c>
      <c r="AB50" s="34" t="str">
        <v/>
      </c>
    </row>
    <row r="51" spans="1:28" ht="84">
      <c r="A51" s="34" t="str">
        <v>CA-741768-001</v>
      </c>
      <c r="B51" s="34" t="str">
        <v>631-XVT  -3718</v>
      </c>
      <c r="C51" s="34" t="str">
        <v>631-X-3718</v>
      </c>
      <c r="D51" s="34" t="str">
        <v>FIELD</v>
      </c>
      <c r="E51" s="34" t="str">
        <v>VIBRATION TRANSMITTER</v>
      </c>
      <c r="F51" s="34" t="str">
        <v>631-G-0262A POTABLE WTR PMP CASING VIBR</v>
      </c>
      <c r="G51" s="34" t="str">
        <v>0</v>
      </c>
      <c r="H51" s="34" t="str">
        <v>25.4</v>
      </c>
      <c r="I51" s="34" t="str">
        <v>mm/s</v>
      </c>
      <c r="J51" s="34" t="str">
        <v>0</v>
      </c>
      <c r="K51" s="34" t="str">
        <v>25.4</v>
      </c>
      <c r="L51" s="34" t="str">
        <v>mm/s</v>
      </c>
      <c r="M51" s="34" t="str">
        <v/>
      </c>
      <c r="N51" s="34" t="str">
        <v/>
      </c>
      <c r="O51" s="34" t="str">
        <v/>
      </c>
      <c r="P51" s="34" t="str">
        <v/>
      </c>
      <c r="Q51" s="34" t="str">
        <v/>
      </c>
      <c r="R51" s="34" t="str">
        <v/>
      </c>
      <c r="S51" s="34" t="str">
        <v/>
      </c>
      <c r="T51" s="34" t="str">
        <v/>
      </c>
      <c r="U51" s="34" t="str">
        <v>AI</v>
      </c>
      <c r="V51" s="34" t="str">
        <v>631-DCS402</v>
      </c>
      <c r="W51" s="34" t="str">
        <v>4-20mA</v>
      </c>
      <c r="X51" s="34" t="str">
        <v>DCS</v>
      </c>
      <c r="Y51" s="34" t="str">
        <v>C</v>
      </c>
      <c r="Z51" s="34" t="str">
        <v>No</v>
      </c>
      <c r="AA51" s="34" t="str">
        <v>AUX</v>
      </c>
      <c r="AB51" s="34" t="str">
        <v/>
      </c>
    </row>
    <row r="52" spans="1:28" ht="84">
      <c r="A52" s="34" t="str">
        <v>CA-741768-001</v>
      </c>
      <c r="B52" s="34" t="str">
        <v>631-XVAH -3718A</v>
      </c>
      <c r="C52" s="34" t="str">
        <v>631-X-3718</v>
      </c>
      <c r="D52" s="34" t="str">
        <v>DCS</v>
      </c>
      <c r="E52" s="34" t="str">
        <v>VIBRATION ALARM HIGH</v>
      </c>
      <c r="F52" s="34" t="str">
        <v>631-G-0262A POTABLE WTR PMP CASING VIBR HI</v>
      </c>
      <c r="G52" s="34" t="str">
        <v/>
      </c>
      <c r="H52" s="34" t="str">
        <v/>
      </c>
      <c r="I52" s="34" t="str">
        <v/>
      </c>
      <c r="J52" s="34" t="str">
        <v/>
      </c>
      <c r="K52" s="34" t="str">
        <v/>
      </c>
      <c r="L52" s="34" t="str">
        <v/>
      </c>
      <c r="M52" s="34" t="str">
        <v>7.6</v>
      </c>
      <c r="N52" s="34" t="str">
        <v/>
      </c>
      <c r="O52" s="34" t="str">
        <v/>
      </c>
      <c r="P52" s="34" t="str">
        <v/>
      </c>
      <c r="Q52" s="34" t="str">
        <v/>
      </c>
      <c r="R52" s="34" t="str">
        <v/>
      </c>
      <c r="S52" s="34" t="str">
        <v>mm/s</v>
      </c>
      <c r="T52" s="34" t="str">
        <v/>
      </c>
      <c r="U52" s="34" t="str">
        <v>SW</v>
      </c>
      <c r="V52" s="34" t="str">
        <v/>
      </c>
      <c r="W52" s="34" t="str">
        <v>-</v>
      </c>
      <c r="X52" s="34" t="str">
        <v>DCS</v>
      </c>
      <c r="Y52" s="34" t="str">
        <v>-</v>
      </c>
      <c r="Z52" s="34" t="str">
        <v>No</v>
      </c>
      <c r="AA52" s="34" t="str">
        <v>AUX</v>
      </c>
      <c r="AB52" s="34" t="str">
        <v/>
      </c>
    </row>
    <row r="53" spans="1:28" ht="84">
      <c r="A53" s="34" t="str">
        <v>CA-741768-001</v>
      </c>
      <c r="B53" s="34" t="str">
        <v>631-XVI  -3718</v>
      </c>
      <c r="C53" s="34" t="str">
        <v>631-X-3718</v>
      </c>
      <c r="D53" s="34" t="str">
        <v>DCS</v>
      </c>
      <c r="E53" s="34" t="str">
        <v>VIBRATION INDICATION</v>
      </c>
      <c r="F53" s="34" t="str">
        <v>631-G-0262A POTABLE WTR PMP CASING VIBR</v>
      </c>
      <c r="G53" s="34" t="str">
        <v/>
      </c>
      <c r="H53" s="34" t="str">
        <v/>
      </c>
      <c r="I53" s="34" t="str">
        <v/>
      </c>
      <c r="J53" s="34" t="str">
        <v/>
      </c>
      <c r="K53" s="34" t="str">
        <v/>
      </c>
      <c r="L53" s="34" t="str">
        <v/>
      </c>
      <c r="M53" s="34" t="str">
        <v/>
      </c>
      <c r="N53" s="34" t="str">
        <v/>
      </c>
      <c r="O53" s="34" t="str">
        <v/>
      </c>
      <c r="P53" s="34" t="str">
        <v/>
      </c>
      <c r="Q53" s="34" t="str">
        <v/>
      </c>
      <c r="R53" s="34" t="str">
        <v/>
      </c>
      <c r="S53" s="34" t="str">
        <v/>
      </c>
      <c r="T53" s="34" t="str">
        <v/>
      </c>
      <c r="U53" s="34" t="str">
        <v>SW</v>
      </c>
      <c r="V53" s="34" t="str">
        <v/>
      </c>
      <c r="W53" s="34" t="str">
        <v>-</v>
      </c>
      <c r="X53" s="34" t="str">
        <v>DCS</v>
      </c>
      <c r="Y53" s="34" t="str">
        <v>-</v>
      </c>
      <c r="Z53" s="34" t="str">
        <v>No</v>
      </c>
      <c r="AA53" s="34" t="str">
        <v>AUX</v>
      </c>
      <c r="AB53" s="34" t="str">
        <v/>
      </c>
    </row>
    <row r="54" spans="1:28" ht="84">
      <c r="A54" s="34" t="str">
        <v>CA-741768-001</v>
      </c>
      <c r="B54" s="34" t="str">
        <v>631-XVAH -3718B</v>
      </c>
      <c r="C54" s="34" t="str">
        <v>631-X-3718</v>
      </c>
      <c r="D54" s="34" t="str">
        <v>DCS</v>
      </c>
      <c r="E54" s="34" t="str">
        <v>VIBRATION ALARM HIGH</v>
      </c>
      <c r="F54" s="34" t="str">
        <v>631-G-0262A POTABLE WTR PMP CASING VIBR HI</v>
      </c>
      <c r="G54" s="34" t="str">
        <v/>
      </c>
      <c r="H54" s="34" t="str">
        <v/>
      </c>
      <c r="I54" s="34" t="str">
        <v/>
      </c>
      <c r="J54" s="34" t="str">
        <v/>
      </c>
      <c r="K54" s="34" t="str">
        <v/>
      </c>
      <c r="L54" s="34" t="str">
        <v/>
      </c>
      <c r="M54" s="34" t="str">
        <v>12.7</v>
      </c>
      <c r="N54" s="34" t="str">
        <v/>
      </c>
      <c r="O54" s="34" t="str">
        <v/>
      </c>
      <c r="P54" s="34" t="str">
        <v/>
      </c>
      <c r="Q54" s="34" t="str">
        <v/>
      </c>
      <c r="R54" s="34" t="str">
        <v/>
      </c>
      <c r="S54" s="34" t="str">
        <v>mm/s</v>
      </c>
      <c r="T54" s="34" t="str">
        <v/>
      </c>
      <c r="U54" s="34" t="str">
        <v>SW</v>
      </c>
      <c r="V54" s="34" t="str">
        <v/>
      </c>
      <c r="W54" s="34" t="str">
        <v>-</v>
      </c>
      <c r="X54" s="34" t="str">
        <v>DCS</v>
      </c>
      <c r="Y54" s="34" t="str">
        <v>-</v>
      </c>
      <c r="Z54" s="34" t="str">
        <v>No</v>
      </c>
      <c r="AA54" s="34" t="str">
        <v>AUX</v>
      </c>
      <c r="AB54" s="34" t="str">
        <v/>
      </c>
    </row>
    <row r="55" spans="1:28" ht="84">
      <c r="A55" s="34" t="str">
        <v>CA-741768-001</v>
      </c>
      <c r="B55" s="34" t="str">
        <v>631-XVT  -3719</v>
      </c>
      <c r="C55" s="34" t="str">
        <v>631-X-3719</v>
      </c>
      <c r="D55" s="34" t="str">
        <v>FIELD</v>
      </c>
      <c r="E55" s="34" t="str">
        <v>VIBRATION TRANSMITTER</v>
      </c>
      <c r="F55" s="34" t="str">
        <v>631-G-0262B POTABLE WTR PMP CASING VIBR</v>
      </c>
      <c r="G55" s="34" t="str">
        <v>0</v>
      </c>
      <c r="H55" s="34" t="str">
        <v>25.4</v>
      </c>
      <c r="I55" s="34" t="str">
        <v>mm/s</v>
      </c>
      <c r="J55" s="34" t="str">
        <v>0</v>
      </c>
      <c r="K55" s="34" t="str">
        <v>25.4</v>
      </c>
      <c r="L55" s="34" t="str">
        <v>mm/s</v>
      </c>
      <c r="M55" s="34" t="str">
        <v/>
      </c>
      <c r="N55" s="34" t="str">
        <v/>
      </c>
      <c r="O55" s="34" t="str">
        <v/>
      </c>
      <c r="P55" s="34" t="str">
        <v/>
      </c>
      <c r="Q55" s="34" t="str">
        <v/>
      </c>
      <c r="R55" s="34" t="str">
        <v/>
      </c>
      <c r="S55" s="34" t="str">
        <v/>
      </c>
      <c r="T55" s="34" t="str">
        <v/>
      </c>
      <c r="U55" s="34" t="str">
        <v>AI</v>
      </c>
      <c r="V55" s="34" t="str">
        <v>631-DCS402</v>
      </c>
      <c r="W55" s="34" t="str">
        <v>4-20mA</v>
      </c>
      <c r="X55" s="34" t="str">
        <v>DCS</v>
      </c>
      <c r="Y55" s="34" t="str">
        <v>C</v>
      </c>
      <c r="Z55" s="34" t="str">
        <v>No</v>
      </c>
      <c r="AA55" s="34" t="str">
        <v>AUX</v>
      </c>
      <c r="AB55" s="34" t="str">
        <v/>
      </c>
    </row>
    <row r="56" spans="1:28" ht="84">
      <c r="A56" s="34" t="str">
        <v>CA-741768-001</v>
      </c>
      <c r="B56" s="34" t="str">
        <v>631-XVAH -3719A</v>
      </c>
      <c r="C56" s="34" t="str">
        <v>631-X-3719</v>
      </c>
      <c r="D56" s="34" t="str">
        <v>DCS</v>
      </c>
      <c r="E56" s="34" t="str">
        <v>VIBRATION ALARM HIGH</v>
      </c>
      <c r="F56" s="34" t="str">
        <v>631-G-0262B POTABLE WTR PMP CASING VIBR HI</v>
      </c>
      <c r="G56" s="34" t="str">
        <v/>
      </c>
      <c r="H56" s="34" t="str">
        <v/>
      </c>
      <c r="I56" s="34" t="str">
        <v/>
      </c>
      <c r="J56" s="34" t="str">
        <v/>
      </c>
      <c r="K56" s="34" t="str">
        <v/>
      </c>
      <c r="L56" s="34" t="str">
        <v/>
      </c>
      <c r="M56" s="34" t="str">
        <v>7.6</v>
      </c>
      <c r="N56" s="34" t="str">
        <v/>
      </c>
      <c r="O56" s="34" t="str">
        <v/>
      </c>
      <c r="P56" s="34" t="str">
        <v/>
      </c>
      <c r="Q56" s="34" t="str">
        <v/>
      </c>
      <c r="R56" s="34" t="str">
        <v/>
      </c>
      <c r="S56" s="34" t="str">
        <v>mm/s</v>
      </c>
      <c r="T56" s="34" t="str">
        <v/>
      </c>
      <c r="U56" s="34" t="str">
        <v>SW</v>
      </c>
      <c r="V56" s="34" t="str">
        <v/>
      </c>
      <c r="W56" s="34" t="str">
        <v>-</v>
      </c>
      <c r="X56" s="34" t="str">
        <v>DCS</v>
      </c>
      <c r="Y56" s="34" t="str">
        <v>-</v>
      </c>
      <c r="Z56" s="34" t="str">
        <v>No</v>
      </c>
      <c r="AA56" s="34" t="str">
        <v>AUX</v>
      </c>
      <c r="AB56" s="34" t="str">
        <v/>
      </c>
    </row>
    <row r="57" spans="1:28" ht="84">
      <c r="A57" s="34" t="str">
        <v>CA-741768-001</v>
      </c>
      <c r="B57" s="34" t="str">
        <v>631-XVI  -3719</v>
      </c>
      <c r="C57" s="34" t="str">
        <v>631-X-3719</v>
      </c>
      <c r="D57" s="34" t="str">
        <v>DCS</v>
      </c>
      <c r="E57" s="34" t="str">
        <v>VIBRATION INDICATION</v>
      </c>
      <c r="F57" s="34" t="str">
        <v>631-G-0262B POTABLE WTR PMP CASING VIBR</v>
      </c>
      <c r="G57" s="34" t="str">
        <v/>
      </c>
      <c r="H57" s="34" t="str">
        <v/>
      </c>
      <c r="I57" s="34" t="str">
        <v/>
      </c>
      <c r="J57" s="34" t="str">
        <v/>
      </c>
      <c r="K57" s="34" t="str">
        <v/>
      </c>
      <c r="L57" s="34" t="str">
        <v/>
      </c>
      <c r="M57" s="34" t="str">
        <v/>
      </c>
      <c r="N57" s="34" t="str">
        <v/>
      </c>
      <c r="O57" s="34" t="str">
        <v/>
      </c>
      <c r="P57" s="34" t="str">
        <v/>
      </c>
      <c r="Q57" s="34" t="str">
        <v/>
      </c>
      <c r="R57" s="34" t="str">
        <v/>
      </c>
      <c r="S57" s="34" t="str">
        <v/>
      </c>
      <c r="T57" s="34" t="str">
        <v/>
      </c>
      <c r="U57" s="34" t="str">
        <v>SW</v>
      </c>
      <c r="V57" s="34" t="str">
        <v/>
      </c>
      <c r="W57" s="34" t="str">
        <v>-</v>
      </c>
      <c r="X57" s="34" t="str">
        <v>DCS</v>
      </c>
      <c r="Y57" s="34" t="str">
        <v>-</v>
      </c>
      <c r="Z57" s="34" t="str">
        <v>No</v>
      </c>
      <c r="AA57" s="34" t="str">
        <v>AUX</v>
      </c>
      <c r="AB57" s="34" t="str">
        <v/>
      </c>
    </row>
    <row r="58" spans="1:28" ht="84">
      <c r="A58" s="34" t="str">
        <v>CA-741768-001</v>
      </c>
      <c r="B58" s="34" t="str">
        <v>631-XVAH -3719B</v>
      </c>
      <c r="C58" s="34" t="str">
        <v>631-X-3719</v>
      </c>
      <c r="D58" s="34" t="str">
        <v>DCS</v>
      </c>
      <c r="E58" s="34" t="str">
        <v>VIBRATION ALARM HIGH</v>
      </c>
      <c r="F58" s="34" t="str">
        <v>631-G-0262B POTABLE WTR PMP CASING VIBR HI</v>
      </c>
      <c r="G58" s="34" t="str">
        <v/>
      </c>
      <c r="H58" s="34" t="str">
        <v/>
      </c>
      <c r="I58" s="34" t="str">
        <v/>
      </c>
      <c r="J58" s="34" t="str">
        <v/>
      </c>
      <c r="K58" s="34" t="str">
        <v/>
      </c>
      <c r="L58" s="34" t="str">
        <v/>
      </c>
      <c r="M58" s="34" t="str">
        <v>12.7</v>
      </c>
      <c r="N58" s="34" t="str">
        <v/>
      </c>
      <c r="O58" s="34" t="str">
        <v/>
      </c>
      <c r="P58" s="34" t="str">
        <v/>
      </c>
      <c r="Q58" s="34" t="str">
        <v/>
      </c>
      <c r="R58" s="34" t="str">
        <v/>
      </c>
      <c r="S58" s="34" t="str">
        <v>mm/s</v>
      </c>
      <c r="T58" s="34" t="str">
        <v/>
      </c>
      <c r="U58" s="34" t="str">
        <v>SW</v>
      </c>
      <c r="V58" s="34" t="str">
        <v/>
      </c>
      <c r="W58" s="34" t="str">
        <v>-</v>
      </c>
      <c r="X58" s="34" t="str">
        <v>DCS</v>
      </c>
      <c r="Y58" s="34" t="str">
        <v>-</v>
      </c>
      <c r="Z58" s="34" t="str">
        <v>No</v>
      </c>
      <c r="AA58" s="34" t="str">
        <v>AUX</v>
      </c>
      <c r="AB58" s="34" t="str"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0E0B502D5DE940A92E42683AA1C129" ma:contentTypeVersion="18" ma:contentTypeDescription="Create a new document." ma:contentTypeScope="" ma:versionID="ef2b34eab47efbfff622c89997c75123">
  <xsd:schema xmlns:xsd="http://www.w3.org/2001/XMLSchema" xmlns:xs="http://www.w3.org/2001/XMLSchema" xmlns:p="http://schemas.microsoft.com/office/2006/metadata/properties" xmlns:ns2="5be86c35-15d5-4aee-a65b-17dba97e8d8e" xmlns:ns3="21a88e77-7e8e-4fcc-a28a-161dce1b1fe4" targetNamespace="http://schemas.microsoft.com/office/2006/metadata/properties" ma:root="true" ma:fieldsID="6ab9e843c470fd59386330454bd8639e" ns2:_="" ns3:_="">
    <xsd:import namespace="5be86c35-15d5-4aee-a65b-17dba97e8d8e"/>
    <xsd:import namespace="21a88e77-7e8e-4fcc-a28a-161dce1b1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86c35-15d5-4aee-a65b-17dba97e8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c78bd8-db31-4712-a006-2d951f62dd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a88e77-7e8e-4fcc-a28a-161dce1b1fe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0df790-29f1-4cf0-a4ac-c396a791ac08}" ma:internalName="TaxCatchAll" ma:showField="CatchAllData" ma:web="21a88e77-7e8e-4fcc-a28a-161dce1b1f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a88e77-7e8e-4fcc-a28a-161dce1b1fe4" xsi:nil="true"/>
    <lcf76f155ced4ddcb4097134ff3c332f xmlns="5be86c35-15d5-4aee-a65b-17dba97e8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3C15B6-3261-42A3-BB5E-BD97F22A78FF}"/>
</file>

<file path=customXml/itemProps2.xml><?xml version="1.0" encoding="utf-8"?>
<ds:datastoreItem xmlns:ds="http://schemas.openxmlformats.org/officeDocument/2006/customXml" ds:itemID="{1DF6BCA5-E29F-4485-ADE3-BE9D87AC4905}"/>
</file>

<file path=customXml/itemProps3.xml><?xml version="1.0" encoding="utf-8"?>
<ds:datastoreItem xmlns:ds="http://schemas.openxmlformats.org/officeDocument/2006/customXml" ds:itemID="{92E27E7D-8C2C-412E-A4D9-A017B9DC3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IO List</dc:title>
  <dc:subject/>
  <dc:creator>K.MadhuSudhanan</dc:creator>
  <cp:keywords/>
  <dc:description/>
  <cp:lastModifiedBy>Deshpande, Nikhil [EMR/CSS/PSS/NASK]</cp:lastModifiedBy>
  <cp:revision/>
  <dcterms:created xsi:type="dcterms:W3CDTF">2019-12-09T05:19:40Z</dcterms:created>
  <dcterms:modified xsi:type="dcterms:W3CDTF">2026-10-11T18:47:21Z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fbe85e-00b2-4d4f-a005-60226966005b_Enabled">
    <vt:lpwstr>True</vt:lpwstr>
  </property>
  <property fmtid="{D5CDD505-2E9C-101B-9397-08002B2CF9AE}" pid="3" name="MSIP_Label_10fbe85e-00b2-4d4f-a005-60226966005b_SiteId">
    <vt:lpwstr>73faca80-f981-4662-85da-6c374785348d</vt:lpwstr>
  </property>
  <property fmtid="{D5CDD505-2E9C-101B-9397-08002B2CF9AE}" pid="4" name="MSIP_Label_10fbe85e-00b2-4d4f-a005-60226966005b_Owner">
    <vt:lpwstr>apareek@mcdermott.com</vt:lpwstr>
  </property>
  <property fmtid="{D5CDD505-2E9C-101B-9397-08002B2CF9AE}" pid="5" name="MSIP_Label_10fbe85e-00b2-4d4f-a005-60226966005b_SetDate">
    <vt:lpwstr>2020-07-21T08:08:56.0704779Z</vt:lpwstr>
  </property>
  <property fmtid="{D5CDD505-2E9C-101B-9397-08002B2CF9AE}" pid="6" name="MSIP_Label_10fbe85e-00b2-4d4f-a005-60226966005b_Name">
    <vt:lpwstr>Public</vt:lpwstr>
  </property>
  <property fmtid="{D5CDD505-2E9C-101B-9397-08002B2CF9AE}" pid="7" name="MSIP_Label_10fbe85e-00b2-4d4f-a005-60226966005b_Application">
    <vt:lpwstr>Microsoft Azure Information Protection</vt:lpwstr>
  </property>
  <property fmtid="{D5CDD505-2E9C-101B-9397-08002B2CF9AE}" pid="8" name="MSIP_Label_10fbe85e-00b2-4d4f-a005-60226966005b_ActionId">
    <vt:lpwstr>f1ad8564-2f16-46ca-b9ee-550ce04c6708</vt:lpwstr>
  </property>
  <property fmtid="{D5CDD505-2E9C-101B-9397-08002B2CF9AE}" pid="9" name="MSIP_Label_10fbe85e-00b2-4d4f-a005-60226966005b_Extended_MSFT_Method">
    <vt:lpwstr>Manual</vt:lpwstr>
  </property>
  <property fmtid="{D5CDD505-2E9C-101B-9397-08002B2CF9AE}" pid="10" name="ContentTypeId">
    <vt:lpwstr>0x0101006C0E0B502D5DE940A92E42683AA1C129</vt:lpwstr>
  </property>
  <property fmtid="{D5CDD505-2E9C-101B-9397-08002B2CF9AE}" pid="11" name="MSIP_Label_9b755ea0-9147-4f1b-a7da-9272cd86a963_Enabled">
    <vt:lpwstr>true</vt:lpwstr>
  </property>
  <property fmtid="{D5CDD505-2E9C-101B-9397-08002B2CF9AE}" pid="12" name="MSIP_Label_9b755ea0-9147-4f1b-a7da-9272cd86a963_SetDate">
    <vt:lpwstr>2026-10-11T18:46:31Z</vt:lpwstr>
  </property>
  <property fmtid="{D5CDD505-2E9C-101B-9397-08002B2CF9AE}" pid="13" name="MSIP_Label_9b755ea0-9147-4f1b-a7da-9272cd86a963_Method">
    <vt:lpwstr>Standard</vt:lpwstr>
  </property>
  <property fmtid="{D5CDD505-2E9C-101B-9397-08002B2CF9AE}" pid="14" name="MSIP_Label_9b755ea0-9147-4f1b-a7da-9272cd86a963_Name">
    <vt:lpwstr>No Label</vt:lpwstr>
  </property>
  <property fmtid="{D5CDD505-2E9C-101B-9397-08002B2CF9AE}" pid="15" name="MSIP_Label_9b755ea0-9147-4f1b-a7da-9272cd86a963_SiteId">
    <vt:lpwstr>eb06985d-06ca-4a17-81da-629ab99f6505</vt:lpwstr>
  </property>
  <property fmtid="{D5CDD505-2E9C-101B-9397-08002B2CF9AE}" pid="16" name="MSIP_Label_9b755ea0-9147-4f1b-a7da-9272cd86a963_ActionId">
    <vt:lpwstr>17e80191-82af-41a6-9d21-631031c780b1</vt:lpwstr>
  </property>
  <property fmtid="{D5CDD505-2E9C-101B-9397-08002B2CF9AE}" pid="17" name="MSIP_Label_9b755ea0-9147-4f1b-a7da-9272cd86a963_ContentBits">
    <vt:lpwstr>0</vt:lpwstr>
  </property>
  <property fmtid="{D5CDD505-2E9C-101B-9397-08002B2CF9AE}" pid="18" name="MSIP_Label_9b755ea0-9147-4f1b-a7da-9272cd86a963_Tag">
    <vt:lpwstr>10, 1, 2, 2</vt:lpwstr>
  </property>
</Properties>
</file>